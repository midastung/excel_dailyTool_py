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\daily\"/>
    </mc:Choice>
  </mc:AlternateContent>
  <xr:revisionPtr revIDLastSave="0" documentId="13_ncr:1_{085A614C-40DD-4F6A-80C9-A9075DA0A0F6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日統計模板" sheetId="1" r:id="rId1"/>
    <sheet name="無上網日統計模板" sheetId="15" r:id="rId2"/>
    <sheet name="DAY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1" i="1" l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164" i="15"/>
  <c r="B1" i="1"/>
  <c r="B190" i="1" s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29" i="1"/>
  <c r="B286" i="15" l="1"/>
  <c r="B287" i="15"/>
  <c r="B288" i="15"/>
  <c r="B289" i="15"/>
  <c r="B290" i="15"/>
  <c r="B291" i="15"/>
  <c r="B292" i="15"/>
  <c r="B293" i="15"/>
  <c r="B285" i="15"/>
  <c r="B273" i="15"/>
  <c r="B274" i="15"/>
  <c r="B275" i="15"/>
  <c r="B276" i="15"/>
  <c r="B277" i="15"/>
  <c r="B278" i="15"/>
  <c r="B279" i="15"/>
  <c r="B280" i="15"/>
  <c r="B281" i="15"/>
  <c r="B282" i="15"/>
  <c r="B283" i="15"/>
  <c r="B272" i="15"/>
  <c r="B299" i="1"/>
  <c r="B259" i="15"/>
  <c r="B260" i="15"/>
  <c r="B261" i="15"/>
  <c r="B262" i="15"/>
  <c r="B263" i="15"/>
  <c r="B264" i="15"/>
  <c r="B265" i="15"/>
  <c r="B266" i="15"/>
  <c r="B258" i="15"/>
  <c r="B246" i="15"/>
  <c r="B247" i="15"/>
  <c r="B248" i="15"/>
  <c r="B249" i="15"/>
  <c r="B250" i="15"/>
  <c r="B251" i="15"/>
  <c r="B252" i="15"/>
  <c r="B253" i="15"/>
  <c r="B254" i="15"/>
  <c r="B255" i="15"/>
  <c r="B256" i="15"/>
  <c r="B245" i="15"/>
  <c r="B257" i="1"/>
  <c r="B258" i="1"/>
  <c r="B259" i="1"/>
  <c r="B260" i="1"/>
  <c r="B261" i="1"/>
  <c r="B262" i="1"/>
  <c r="B263" i="1"/>
  <c r="B264" i="1"/>
  <c r="B265" i="1"/>
  <c r="B266" i="1"/>
  <c r="B267" i="1"/>
  <c r="B268" i="1"/>
  <c r="B246" i="1"/>
  <c r="B247" i="1"/>
  <c r="B248" i="1"/>
  <c r="B249" i="1"/>
  <c r="B250" i="1"/>
  <c r="B251" i="1"/>
  <c r="B252" i="1"/>
  <c r="B253" i="1"/>
  <c r="B254" i="1"/>
  <c r="B255" i="1"/>
  <c r="B256" i="1"/>
  <c r="B245" i="1"/>
  <c r="B97" i="15"/>
  <c r="B98" i="15"/>
  <c r="B99" i="15"/>
  <c r="B100" i="15"/>
  <c r="B101" i="15"/>
  <c r="B102" i="15"/>
  <c r="B103" i="15"/>
  <c r="B104" i="15"/>
  <c r="B96" i="15"/>
  <c r="B106" i="1"/>
  <c r="B84" i="15"/>
  <c r="B85" i="15"/>
  <c r="B86" i="15"/>
  <c r="B87" i="15"/>
  <c r="B88" i="15"/>
  <c r="B89" i="15"/>
  <c r="B90" i="15"/>
  <c r="B91" i="15"/>
  <c r="B92" i="15"/>
  <c r="B93" i="15"/>
  <c r="B94" i="15"/>
  <c r="B83" i="15"/>
  <c r="B95" i="1"/>
  <c r="B96" i="1"/>
  <c r="B97" i="1"/>
  <c r="B98" i="1"/>
  <c r="B99" i="1"/>
  <c r="B100" i="1"/>
  <c r="B101" i="1"/>
  <c r="B102" i="1"/>
  <c r="B103" i="1"/>
  <c r="B104" i="1"/>
  <c r="B105" i="1"/>
  <c r="B84" i="1"/>
  <c r="B85" i="1"/>
  <c r="B86" i="1"/>
  <c r="B87" i="1"/>
  <c r="B88" i="1"/>
  <c r="B89" i="1"/>
  <c r="B90" i="1"/>
  <c r="B91" i="1"/>
  <c r="B92" i="1"/>
  <c r="B93" i="1"/>
  <c r="B94" i="1"/>
  <c r="B83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257" i="15" l="1"/>
  <c r="B267" i="15"/>
  <c r="B284" i="15"/>
  <c r="B294" i="15"/>
  <c r="B95" i="15"/>
  <c r="B105" i="15"/>
  <c r="B268" i="15" l="1"/>
  <c r="B295" i="15"/>
  <c r="B106" i="15"/>
  <c r="E2" i="1" l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25" i="1" l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B322" i="1" l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4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3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320" i="15"/>
  <c r="B319" i="15"/>
  <c r="B318" i="15"/>
  <c r="B317" i="15"/>
  <c r="B316" i="15"/>
  <c r="B315" i="15"/>
  <c r="B314" i="15"/>
  <c r="B313" i="15"/>
  <c r="B312" i="15"/>
  <c r="B310" i="15"/>
  <c r="B309" i="15"/>
  <c r="B308" i="15"/>
  <c r="B307" i="15"/>
  <c r="B306" i="15"/>
  <c r="B305" i="15"/>
  <c r="B304" i="15"/>
  <c r="B303" i="15"/>
  <c r="B302" i="15"/>
  <c r="B301" i="15"/>
  <c r="B300" i="15"/>
  <c r="B299" i="15"/>
  <c r="B239" i="15"/>
  <c r="B238" i="15"/>
  <c r="B237" i="15"/>
  <c r="B236" i="15"/>
  <c r="B235" i="15"/>
  <c r="B234" i="15"/>
  <c r="B233" i="15"/>
  <c r="B232" i="15"/>
  <c r="B231" i="15"/>
  <c r="B229" i="15"/>
  <c r="B228" i="15"/>
  <c r="B227" i="15"/>
  <c r="B226" i="15"/>
  <c r="B225" i="15"/>
  <c r="B224" i="15"/>
  <c r="B223" i="15"/>
  <c r="B222" i="15"/>
  <c r="B221" i="15"/>
  <c r="B220" i="15"/>
  <c r="B219" i="15"/>
  <c r="B218" i="15"/>
  <c r="B212" i="15"/>
  <c r="B211" i="15"/>
  <c r="B210" i="15"/>
  <c r="B209" i="15"/>
  <c r="B208" i="15"/>
  <c r="B207" i="15"/>
  <c r="B206" i="15"/>
  <c r="B205" i="15"/>
  <c r="B204" i="15"/>
  <c r="B202" i="15"/>
  <c r="B201" i="15"/>
  <c r="B200" i="15"/>
  <c r="B199" i="15"/>
  <c r="B198" i="15"/>
  <c r="B197" i="15"/>
  <c r="B196" i="15"/>
  <c r="B195" i="15"/>
  <c r="B194" i="15"/>
  <c r="B193" i="15"/>
  <c r="B192" i="15"/>
  <c r="B191" i="15"/>
  <c r="B185" i="15"/>
  <c r="B184" i="15"/>
  <c r="B183" i="15"/>
  <c r="B182" i="15"/>
  <c r="B181" i="15"/>
  <c r="B180" i="15"/>
  <c r="B179" i="15"/>
  <c r="B178" i="15"/>
  <c r="B177" i="15"/>
  <c r="B175" i="15"/>
  <c r="B174" i="15"/>
  <c r="B173" i="15"/>
  <c r="B172" i="15"/>
  <c r="B171" i="15"/>
  <c r="B170" i="15"/>
  <c r="B169" i="15"/>
  <c r="B168" i="15"/>
  <c r="B167" i="15"/>
  <c r="B166" i="15"/>
  <c r="B165" i="15"/>
  <c r="B158" i="15"/>
  <c r="B157" i="15"/>
  <c r="B156" i="15"/>
  <c r="B155" i="15"/>
  <c r="B154" i="15"/>
  <c r="B153" i="15"/>
  <c r="B152" i="15"/>
  <c r="B151" i="15"/>
  <c r="B150" i="15"/>
  <c r="B148" i="15"/>
  <c r="B147" i="15"/>
  <c r="B146" i="15"/>
  <c r="B145" i="15"/>
  <c r="B144" i="15"/>
  <c r="B143" i="15"/>
  <c r="B142" i="15"/>
  <c r="B141" i="15"/>
  <c r="B140" i="15"/>
  <c r="B139" i="15"/>
  <c r="B138" i="15"/>
  <c r="B137" i="15"/>
  <c r="B131" i="15"/>
  <c r="B130" i="15"/>
  <c r="B129" i="15"/>
  <c r="B128" i="15"/>
  <c r="B127" i="15"/>
  <c r="B126" i="15"/>
  <c r="B125" i="15"/>
  <c r="B124" i="15"/>
  <c r="B123" i="15"/>
  <c r="B121" i="15"/>
  <c r="B120" i="15"/>
  <c r="B119" i="15"/>
  <c r="B118" i="15"/>
  <c r="B117" i="15"/>
  <c r="B116" i="15"/>
  <c r="B115" i="15"/>
  <c r="B114" i="15"/>
  <c r="B113" i="15"/>
  <c r="B112" i="15"/>
  <c r="B111" i="15"/>
  <c r="B110" i="15"/>
  <c r="B77" i="15"/>
  <c r="B76" i="15"/>
  <c r="B75" i="15"/>
  <c r="B74" i="15"/>
  <c r="B73" i="15"/>
  <c r="B72" i="15"/>
  <c r="B71" i="15"/>
  <c r="B70" i="15"/>
  <c r="B69" i="15"/>
  <c r="B67" i="15"/>
  <c r="B66" i="15"/>
  <c r="B65" i="15"/>
  <c r="B64" i="15"/>
  <c r="B63" i="15"/>
  <c r="B62" i="15"/>
  <c r="B61" i="15"/>
  <c r="B60" i="15"/>
  <c r="B59" i="15"/>
  <c r="B58" i="15"/>
  <c r="B57" i="15"/>
  <c r="B56" i="15"/>
  <c r="B50" i="15"/>
  <c r="B49" i="15"/>
  <c r="B48" i="15"/>
  <c r="B47" i="15"/>
  <c r="B46" i="15"/>
  <c r="B45" i="15"/>
  <c r="B44" i="15"/>
  <c r="B43" i="15"/>
  <c r="B42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3" i="15"/>
  <c r="B22" i="15"/>
  <c r="B21" i="15"/>
  <c r="B20" i="15"/>
  <c r="B19" i="15"/>
  <c r="B18" i="15"/>
  <c r="B17" i="15"/>
  <c r="B16" i="15"/>
  <c r="B15" i="15"/>
  <c r="B13" i="15"/>
  <c r="B12" i="15"/>
  <c r="B11" i="15"/>
  <c r="B10" i="15"/>
  <c r="B9" i="15"/>
  <c r="B8" i="15"/>
  <c r="B7" i="15"/>
  <c r="B6" i="15"/>
  <c r="B5" i="15"/>
  <c r="B4" i="15"/>
  <c r="B3" i="15"/>
  <c r="B2" i="15"/>
  <c r="B82" i="1" l="1"/>
  <c r="B1" i="15" l="1"/>
  <c r="B82" i="15" s="1"/>
  <c r="B109" i="1"/>
  <c r="E1" i="1"/>
  <c r="B298" i="1"/>
  <c r="B271" i="1"/>
  <c r="B244" i="15" s="1"/>
  <c r="B217" i="1"/>
  <c r="B163" i="1"/>
  <c r="E163" i="1" s="1"/>
  <c r="B136" i="1"/>
  <c r="B55" i="1"/>
  <c r="B28" i="1"/>
  <c r="B244" i="1" s="1"/>
  <c r="B298" i="15" l="1"/>
  <c r="B136" i="15"/>
  <c r="B163" i="15"/>
  <c r="B190" i="15"/>
  <c r="B28" i="15"/>
  <c r="B271" i="15" s="1"/>
  <c r="B217" i="15"/>
  <c r="B55" i="15"/>
  <c r="B109" i="15"/>
  <c r="B41" i="15"/>
  <c r="B213" i="15"/>
  <c r="B78" i="15"/>
  <c r="B14" i="15"/>
  <c r="B51" i="15"/>
  <c r="B122" i="15"/>
  <c r="B176" i="15"/>
  <c r="B186" i="15"/>
  <c r="B230" i="15"/>
  <c r="B240" i="15"/>
  <c r="B311" i="15"/>
  <c r="B321" i="15"/>
  <c r="B24" i="15"/>
  <c r="B68" i="15"/>
  <c r="B203" i="15"/>
  <c r="B149" i="15"/>
  <c r="B132" i="15"/>
  <c r="B159" i="15"/>
  <c r="B79" i="15" l="1"/>
  <c r="B52" i="15"/>
  <c r="B214" i="15"/>
  <c r="B241" i="15"/>
  <c r="B187" i="15"/>
  <c r="B322" i="15"/>
  <c r="B133" i="15"/>
  <c r="B25" i="15"/>
  <c r="B160" i="15"/>
</calcChain>
</file>

<file path=xl/sharedStrings.xml><?xml version="1.0" encoding="utf-8"?>
<sst xmlns="http://schemas.openxmlformats.org/spreadsheetml/2006/main" count="1083" uniqueCount="79">
  <si>
    <t>累計客戶數(ALL)</t>
    <phoneticPr fontId="1" type="noConversion"/>
  </si>
  <si>
    <t>台北（第一服務中心）</t>
  </si>
  <si>
    <t>台北（第二服務中心）</t>
  </si>
  <si>
    <t>台北（第三服務中心）</t>
  </si>
  <si>
    <t>台北（第四服務中心）</t>
  </si>
  <si>
    <t>新北（第一服務中心）</t>
  </si>
  <si>
    <t>新北（第二服務中心）</t>
  </si>
  <si>
    <t>基隆</t>
  </si>
  <si>
    <t>桃園</t>
  </si>
  <si>
    <t>新竹</t>
  </si>
  <si>
    <t>苗栗</t>
  </si>
  <si>
    <t>花蓮</t>
  </si>
  <si>
    <t>宜蘭</t>
  </si>
  <si>
    <t>北區</t>
    <phoneticPr fontId="1" type="noConversion"/>
  </si>
  <si>
    <t>臺中</t>
  </si>
  <si>
    <t>彰化</t>
  </si>
  <si>
    <t>南投</t>
  </si>
  <si>
    <t>雲林</t>
  </si>
  <si>
    <t>嘉義</t>
  </si>
  <si>
    <t>台南</t>
  </si>
  <si>
    <t>高雄</t>
  </si>
  <si>
    <t>屏東</t>
  </si>
  <si>
    <t>台東</t>
  </si>
  <si>
    <t>南區</t>
  </si>
  <si>
    <t>全區</t>
    <phoneticPr fontId="1" type="noConversion"/>
  </si>
  <si>
    <t>北區</t>
  </si>
  <si>
    <t>全區</t>
  </si>
  <si>
    <t>累計客戶數(消客)</t>
  </si>
  <si>
    <t>淨客戶數(ALL)</t>
    <phoneticPr fontId="1" type="noConversion"/>
  </si>
  <si>
    <t>ALL</t>
    <phoneticPr fontId="1" type="noConversion"/>
  </si>
  <si>
    <t>南分</t>
    <phoneticPr fontId="1" type="noConversion"/>
  </si>
  <si>
    <t>新裝申請數(ALL)</t>
    <phoneticPr fontId="1" type="noConversion"/>
  </si>
  <si>
    <t>新裝待裝數</t>
    <phoneticPr fontId="1" type="noConversion"/>
  </si>
  <si>
    <t>新裝竣工數(ALL)</t>
    <phoneticPr fontId="1" type="noConversion"/>
  </si>
  <si>
    <t>退租竣工數(ALL)</t>
    <phoneticPr fontId="1" type="noConversion"/>
  </si>
  <si>
    <t>退租申請數(ALL)</t>
    <phoneticPr fontId="1" type="noConversion"/>
  </si>
  <si>
    <t>新裝申請數(消客)</t>
    <phoneticPr fontId="1" type="noConversion"/>
  </si>
  <si>
    <t>新裝竣工數(消客)</t>
    <phoneticPr fontId="1" type="noConversion"/>
  </si>
  <si>
    <t>退租竣工數(消客)</t>
    <phoneticPr fontId="1" type="noConversion"/>
  </si>
  <si>
    <t>新裝註銷數(消客)</t>
    <phoneticPr fontId="1" type="noConversion"/>
  </si>
  <si>
    <t>新裝註銷數(ALL)</t>
    <phoneticPr fontId="1" type="noConversion"/>
  </si>
  <si>
    <t>退租申請數(消客)</t>
    <phoneticPr fontId="1" type="noConversion"/>
  </si>
  <si>
    <t>統計條件: 事業群:全部</t>
  </si>
  <si>
    <t>序號</t>
  </si>
  <si>
    <t>營運處</t>
  </si>
  <si>
    <t>大服</t>
  </si>
  <si>
    <t>申請數</t>
  </si>
  <si>
    <t>竣工數</t>
  </si>
  <si>
    <t>註銷數</t>
  </si>
  <si>
    <t>退租數</t>
  </si>
  <si>
    <t>客戶數</t>
  </si>
  <si>
    <t>總客戶數</t>
  </si>
  <si>
    <t>待裝數</t>
  </si>
  <si>
    <t>退租申請數</t>
  </si>
  <si>
    <t>台北</t>
  </si>
  <si>
    <t>一服</t>
  </si>
  <si>
    <t>二服</t>
  </si>
  <si>
    <t>三服</t>
  </si>
  <si>
    <t>四服</t>
  </si>
  <si>
    <t>新北</t>
  </si>
  <si>
    <t xml:space="preserve"> </t>
  </si>
  <si>
    <t xml:space="preserve">南區   </t>
  </si>
  <si>
    <t>總計</t>
  </si>
  <si>
    <t>服務</t>
  </si>
  <si>
    <t>2機</t>
  </si>
  <si>
    <t>3機</t>
  </si>
  <si>
    <t>4機</t>
  </si>
  <si>
    <t>MOD不上網申請竣工退租統計</t>
  </si>
  <si>
    <t xml:space="preserve">序號 </t>
  </si>
  <si>
    <t xml:space="preserve">   營運處  </t>
  </si>
  <si>
    <t xml:space="preserve">  大服 </t>
  </si>
  <si>
    <t xml:space="preserve">  申請數 </t>
  </si>
  <si>
    <t xml:space="preserve">   竣工數  </t>
  </si>
  <si>
    <t xml:space="preserve">  註銷數  </t>
  </si>
  <si>
    <t xml:space="preserve">  退租數 </t>
  </si>
  <si>
    <t>統計條件: 事業群:A</t>
  </si>
  <si>
    <t>統計條件: 事業群:B</t>
  </si>
  <si>
    <t>統計條件: 事業群:C</t>
  </si>
  <si>
    <t>統計日期: 2025/11/25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</si>
</sst>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;[Red]\-0\ "/>
    <numFmt numFmtId="177" formatCode="m/d"/>
  </numFmts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8"/>
      <color rgb="FFFF0000"/>
      <name val="微軟正黑體"/>
      <family val="2"/>
      <charset val="136"/>
    </font>
    <font>
      <sz val="8"/>
      <name val="微軟正黑體"/>
      <family val="2"/>
      <charset val="136"/>
    </font>
    <font>
      <sz val="12"/>
      <name val="新細明體"/>
      <family val="2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0000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5" borderId="0" xfId="0" applyFill="1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0" borderId="0" xfId="0" applyFont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176" fontId="2" fillId="0" borderId="0" xfId="0" applyNumberFormat="1" applyFont="1" applyAlignment="1">
      <alignment horizontal="right" vertical="center"/>
    </xf>
    <xf numFmtId="176" fontId="2" fillId="3" borderId="0" xfId="0" applyNumberFormat="1" applyFont="1" applyFill="1" applyAlignment="1">
      <alignment horizontal="right" vertical="center"/>
    </xf>
    <xf numFmtId="176" fontId="2" fillId="4" borderId="0" xfId="0" applyNumberFormat="1" applyFont="1" applyFill="1" applyAlignment="1">
      <alignment horizontal="right" vertical="center"/>
    </xf>
    <xf numFmtId="0" fontId="4" fillId="2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2" fillId="6" borderId="0" xfId="0" applyFont="1" applyFill="1">
      <alignment vertical="center"/>
    </xf>
    <xf numFmtId="0" fontId="2" fillId="6" borderId="0" xfId="0" applyFont="1" applyFill="1" applyAlignment="1">
      <alignment horizontal="right" vertical="center"/>
    </xf>
    <xf numFmtId="0" fontId="0" fillId="6" borderId="0" xfId="0" applyFill="1">
      <alignment vertical="center"/>
    </xf>
    <xf numFmtId="0" fontId="3" fillId="6" borderId="0" xfId="0" applyFont="1" applyFill="1">
      <alignment vertical="center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>
      <alignment vertical="center"/>
    </xf>
    <xf numFmtId="177" fontId="5" fillId="0" borderId="0" xfId="0" applyNumberFormat="1" applyFont="1" applyAlignment="1">
      <alignment horizontal="center" vertical="center"/>
    </xf>
    <xf numFmtId="0" fontId="5" fillId="7" borderId="0" xfId="0" applyFont="1" applyFill="1">
      <alignment vertical="center"/>
    </xf>
    <xf numFmtId="0" fontId="5" fillId="7" borderId="0" xfId="0" applyFont="1" applyFill="1" applyAlignment="1">
      <alignment horizontal="right" vertical="center"/>
    </xf>
    <xf numFmtId="0" fontId="6" fillId="7" borderId="0" xfId="0" applyFont="1" applyFill="1">
      <alignment vertical="center"/>
    </xf>
    <xf numFmtId="0" fontId="2" fillId="7" borderId="0" xfId="0" applyFont="1" applyFill="1">
      <alignment vertical="center"/>
    </xf>
    <xf numFmtId="0" fontId="2" fillId="7" borderId="0" xfId="0" applyFont="1" applyFill="1" applyAlignment="1">
      <alignment horizontal="right" vertical="center"/>
    </xf>
    <xf numFmtId="0" fontId="0" fillId="7" borderId="0" xfId="0" applyFill="1">
      <alignment vertical="center"/>
    </xf>
    <xf numFmtId="0" fontId="2" fillId="8" borderId="0" xfId="0" applyFont="1" applyFill="1">
      <alignment vertical="center"/>
    </xf>
    <xf numFmtId="0" fontId="2" fillId="8" borderId="0" xfId="0" applyFont="1" applyFill="1" applyAlignment="1">
      <alignment horizontal="right" vertical="center"/>
    </xf>
    <xf numFmtId="0" fontId="0" fillId="8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2"/>
  <sheetViews>
    <sheetView zoomScaleNormal="100" workbookViewId="0">
      <selection activeCell="B1" sqref="B1"/>
    </sheetView>
  </sheetViews>
  <sheetFormatPr defaultRowHeight="17" x14ac:dyDescent="0.4"/>
  <cols>
    <col min="1" max="1" width="14.453125" style="3" customWidth="1"/>
    <col min="2" max="2" width="10.6328125" style="6" customWidth="1"/>
    <col min="3" max="3" width="11" style="3" customWidth="1"/>
    <col min="4" max="4" width="14.36328125" style="3" customWidth="1"/>
    <col min="5" max="5" width="8.6328125" style="3" customWidth="1"/>
  </cols>
  <sheetData>
    <row r="1" spans="1:5" x14ac:dyDescent="0.4">
      <c r="A1" s="2" t="s">
        <v>0</v>
      </c>
      <c r="B1" s="25">
        <f>DATEVALUE(RIGHT('DAY1'!$A4,5))</f>
        <v>45986</v>
      </c>
      <c r="D1" s="2" t="s">
        <v>28</v>
      </c>
      <c r="E1" s="25">
        <f>B1</f>
        <v>45986</v>
      </c>
    </row>
    <row r="2" spans="1:5" x14ac:dyDescent="0.4">
      <c r="A2" s="3" t="s">
        <v>1</v>
      </c>
      <c r="B2" s="6">
        <f>'DAY1'!$I7</f>
        <v>103579</v>
      </c>
      <c r="D2" s="3" t="s">
        <v>1</v>
      </c>
      <c r="E2" s="13">
        <f>'DAY1'!$H7</f>
        <v>-15</v>
      </c>
    </row>
    <row r="3" spans="1:5" x14ac:dyDescent="0.4">
      <c r="A3" s="3" t="s">
        <v>2</v>
      </c>
      <c r="B3" s="6">
        <f>'DAY1'!$I8</f>
        <v>55758</v>
      </c>
      <c r="D3" s="3" t="s">
        <v>2</v>
      </c>
      <c r="E3" s="13">
        <f>'DAY1'!$H8</f>
        <v>-3</v>
      </c>
    </row>
    <row r="4" spans="1:5" x14ac:dyDescent="0.4">
      <c r="A4" s="3" t="s">
        <v>3</v>
      </c>
      <c r="B4" s="6">
        <f>'DAY1'!$I9</f>
        <v>48476</v>
      </c>
      <c r="D4" s="3" t="s">
        <v>3</v>
      </c>
      <c r="E4" s="13">
        <f>'DAY1'!$H9</f>
        <v>0</v>
      </c>
    </row>
    <row r="5" spans="1:5" x14ac:dyDescent="0.4">
      <c r="A5" s="3" t="s">
        <v>4</v>
      </c>
      <c r="B5" s="6">
        <f>'DAY1'!$I10</f>
        <v>62182</v>
      </c>
      <c r="D5" s="3" t="s">
        <v>4</v>
      </c>
      <c r="E5" s="13">
        <f>'DAY1'!$H10</f>
        <v>-4</v>
      </c>
    </row>
    <row r="6" spans="1:5" x14ac:dyDescent="0.4">
      <c r="A6" s="3" t="s">
        <v>5</v>
      </c>
      <c r="B6" s="6">
        <f>'DAY1'!$I11</f>
        <v>150221</v>
      </c>
      <c r="D6" s="3" t="s">
        <v>5</v>
      </c>
      <c r="E6" s="13">
        <f>'DAY1'!$H11</f>
        <v>-15</v>
      </c>
    </row>
    <row r="7" spans="1:5" x14ac:dyDescent="0.4">
      <c r="A7" s="3" t="s">
        <v>6</v>
      </c>
      <c r="B7" s="6">
        <f>'DAY1'!$I12</f>
        <v>107816</v>
      </c>
      <c r="D7" s="3" t="s">
        <v>6</v>
      </c>
      <c r="E7" s="13">
        <f>'DAY1'!$H12</f>
        <v>11</v>
      </c>
    </row>
    <row r="8" spans="1:5" x14ac:dyDescent="0.4">
      <c r="A8" s="3" t="s">
        <v>7</v>
      </c>
      <c r="B8" s="6">
        <f>'DAY1'!$I13</f>
        <v>64655</v>
      </c>
      <c r="D8" s="3" t="s">
        <v>7</v>
      </c>
      <c r="E8" s="13">
        <f>'DAY1'!$H13</f>
        <v>-19</v>
      </c>
    </row>
    <row r="9" spans="1:5" x14ac:dyDescent="0.4">
      <c r="A9" s="3" t="s">
        <v>8</v>
      </c>
      <c r="B9" s="6">
        <f>'DAY1'!$I14</f>
        <v>196222</v>
      </c>
      <c r="D9" s="3" t="s">
        <v>8</v>
      </c>
      <c r="E9" s="13">
        <f>'DAY1'!$H14</f>
        <v>-23</v>
      </c>
    </row>
    <row r="10" spans="1:5" x14ac:dyDescent="0.4">
      <c r="A10" s="3" t="s">
        <v>9</v>
      </c>
      <c r="B10" s="6">
        <f>'DAY1'!$I15</f>
        <v>105597</v>
      </c>
      <c r="D10" s="3" t="s">
        <v>9</v>
      </c>
      <c r="E10" s="13">
        <f>'DAY1'!$H15</f>
        <v>10</v>
      </c>
    </row>
    <row r="11" spans="1:5" x14ac:dyDescent="0.4">
      <c r="A11" s="3" t="s">
        <v>10</v>
      </c>
      <c r="B11" s="6">
        <f>'DAY1'!$I16</f>
        <v>51808</v>
      </c>
      <c r="D11" s="3" t="s">
        <v>10</v>
      </c>
      <c r="E11" s="13">
        <f>'DAY1'!$H16</f>
        <v>-18</v>
      </c>
    </row>
    <row r="12" spans="1:5" x14ac:dyDescent="0.4">
      <c r="A12" s="3" t="s">
        <v>11</v>
      </c>
      <c r="B12" s="6">
        <f>'DAY1'!$I17</f>
        <v>45536</v>
      </c>
      <c r="D12" s="3" t="s">
        <v>11</v>
      </c>
      <c r="E12" s="13">
        <f>'DAY1'!$H17</f>
        <v>-9</v>
      </c>
    </row>
    <row r="13" spans="1:5" x14ac:dyDescent="0.4">
      <c r="A13" s="3" t="s">
        <v>12</v>
      </c>
      <c r="B13" s="6">
        <f>'DAY1'!$I18</f>
        <v>32309</v>
      </c>
      <c r="D13" s="3" t="s">
        <v>12</v>
      </c>
      <c r="E13" s="13">
        <f>'DAY1'!$H18</f>
        <v>3</v>
      </c>
    </row>
    <row r="14" spans="1:5" x14ac:dyDescent="0.4">
      <c r="A14" s="4" t="s">
        <v>13</v>
      </c>
      <c r="B14" s="7">
        <f>'DAY1'!$I19</f>
        <v>1024159</v>
      </c>
      <c r="D14" s="4" t="s">
        <v>13</v>
      </c>
      <c r="E14" s="14">
        <f>'DAY1'!$H19</f>
        <v>-82</v>
      </c>
    </row>
    <row r="15" spans="1:5" x14ac:dyDescent="0.4">
      <c r="A15" s="3" t="s">
        <v>14</v>
      </c>
      <c r="B15" s="6">
        <f>'DAY1'!$I20</f>
        <v>252178</v>
      </c>
      <c r="D15" s="3" t="s">
        <v>14</v>
      </c>
      <c r="E15" s="13">
        <f>'DAY1'!$H20</f>
        <v>-20</v>
      </c>
    </row>
    <row r="16" spans="1:5" x14ac:dyDescent="0.4">
      <c r="A16" s="3" t="s">
        <v>15</v>
      </c>
      <c r="B16" s="6">
        <f>'DAY1'!$I21</f>
        <v>85777</v>
      </c>
      <c r="D16" s="3" t="s">
        <v>15</v>
      </c>
      <c r="E16" s="13">
        <f>'DAY1'!$H21</f>
        <v>-6</v>
      </c>
    </row>
    <row r="17" spans="1:5" x14ac:dyDescent="0.4">
      <c r="A17" s="3" t="s">
        <v>16</v>
      </c>
      <c r="B17" s="6">
        <f>'DAY1'!$I22</f>
        <v>47696</v>
      </c>
      <c r="D17" s="3" t="s">
        <v>16</v>
      </c>
      <c r="E17" s="13">
        <f>'DAY1'!$H22</f>
        <v>0</v>
      </c>
    </row>
    <row r="18" spans="1:5" x14ac:dyDescent="0.4">
      <c r="A18" s="3" t="s">
        <v>17</v>
      </c>
      <c r="B18" s="6">
        <f>'DAY1'!$I23</f>
        <v>56358</v>
      </c>
      <c r="D18" s="3" t="s">
        <v>17</v>
      </c>
      <c r="E18" s="13">
        <f>'DAY1'!$H23</f>
        <v>-1</v>
      </c>
    </row>
    <row r="19" spans="1:5" x14ac:dyDescent="0.4">
      <c r="A19" s="3" t="s">
        <v>18</v>
      </c>
      <c r="B19" s="6">
        <f>'DAY1'!$I24</f>
        <v>71968</v>
      </c>
      <c r="D19" s="3" t="s">
        <v>18</v>
      </c>
      <c r="E19" s="13">
        <f>'DAY1'!$H24</f>
        <v>-55</v>
      </c>
    </row>
    <row r="20" spans="1:5" x14ac:dyDescent="0.4">
      <c r="A20" s="3" t="s">
        <v>19</v>
      </c>
      <c r="B20" s="6">
        <f>'DAY1'!$I25</f>
        <v>177763</v>
      </c>
      <c r="D20" s="3" t="s">
        <v>19</v>
      </c>
      <c r="E20" s="13">
        <f>'DAY1'!$H25</f>
        <v>-38</v>
      </c>
    </row>
    <row r="21" spans="1:5" x14ac:dyDescent="0.4">
      <c r="A21" s="3" t="s">
        <v>20</v>
      </c>
      <c r="B21" s="6">
        <f>'DAY1'!$I26</f>
        <v>220239</v>
      </c>
      <c r="D21" s="3" t="s">
        <v>20</v>
      </c>
      <c r="E21" s="13">
        <f>'DAY1'!$H26</f>
        <v>-49</v>
      </c>
    </row>
    <row r="22" spans="1:5" x14ac:dyDescent="0.4">
      <c r="A22" s="3" t="s">
        <v>21</v>
      </c>
      <c r="B22" s="6">
        <f>'DAY1'!$I27</f>
        <v>57550</v>
      </c>
      <c r="D22" s="3" t="s">
        <v>21</v>
      </c>
      <c r="E22" s="13">
        <f>'DAY1'!$H27</f>
        <v>-19</v>
      </c>
    </row>
    <row r="23" spans="1:5" x14ac:dyDescent="0.4">
      <c r="A23" s="3" t="s">
        <v>22</v>
      </c>
      <c r="B23" s="6">
        <f>'DAY1'!$I28</f>
        <v>22785</v>
      </c>
      <c r="D23" s="3" t="s">
        <v>22</v>
      </c>
      <c r="E23" s="13">
        <f>'DAY1'!$H28</f>
        <v>-10</v>
      </c>
    </row>
    <row r="24" spans="1:5" x14ac:dyDescent="0.4">
      <c r="A24" s="4" t="s">
        <v>23</v>
      </c>
      <c r="B24" s="7">
        <f>'DAY1'!$I29</f>
        <v>992314</v>
      </c>
      <c r="D24" s="4" t="s">
        <v>23</v>
      </c>
      <c r="E24" s="14">
        <f>'DAY1'!$H29</f>
        <v>-198</v>
      </c>
    </row>
    <row r="25" spans="1:5" ht="17.5" thickBot="1" x14ac:dyDescent="0.45">
      <c r="A25" s="24" t="s">
        <v>24</v>
      </c>
      <c r="B25" s="23">
        <f>'DAY1'!$I30</f>
        <v>2016473</v>
      </c>
      <c r="D25" s="5" t="s">
        <v>24</v>
      </c>
      <c r="E25" s="15">
        <f>'DAY1'!$H30</f>
        <v>-280</v>
      </c>
    </row>
    <row r="26" spans="1:5" s="34" customFormat="1" x14ac:dyDescent="0.4">
      <c r="A26" s="32"/>
      <c r="B26" s="33"/>
      <c r="C26" s="32"/>
      <c r="D26" s="32"/>
      <c r="E26" s="32"/>
    </row>
    <row r="28" spans="1:5" x14ac:dyDescent="0.4">
      <c r="A28" s="2" t="s">
        <v>31</v>
      </c>
      <c r="B28" s="25">
        <f>B1</f>
        <v>45986</v>
      </c>
      <c r="D28" s="16" t="s">
        <v>32</v>
      </c>
      <c r="E28" s="3" t="s">
        <v>29</v>
      </c>
    </row>
    <row r="29" spans="1:5" ht="16.5" customHeight="1" x14ac:dyDescent="0.4">
      <c r="A29" s="3" t="s">
        <v>1</v>
      </c>
      <c r="B29" s="6">
        <f>'DAY1'!$D7</f>
        <v>13</v>
      </c>
      <c r="D29" s="3" t="s">
        <v>1</v>
      </c>
      <c r="E29" s="17">
        <f>'DAY1'!J7</f>
        <v>191</v>
      </c>
    </row>
    <row r="30" spans="1:5" ht="16.5" customHeight="1" x14ac:dyDescent="0.4">
      <c r="A30" s="3" t="s">
        <v>2</v>
      </c>
      <c r="B30" s="6">
        <f>'DAY1'!$D8</f>
        <v>15</v>
      </c>
      <c r="D30" s="3" t="s">
        <v>2</v>
      </c>
      <c r="E30" s="17">
        <f>'DAY1'!J8</f>
        <v>101</v>
      </c>
    </row>
    <row r="31" spans="1:5" ht="16.5" customHeight="1" x14ac:dyDescent="0.4">
      <c r="A31" s="3" t="s">
        <v>3</v>
      </c>
      <c r="B31" s="6">
        <f>'DAY1'!$D9</f>
        <v>9</v>
      </c>
      <c r="D31" s="3" t="s">
        <v>3</v>
      </c>
      <c r="E31" s="17">
        <f>'DAY1'!J9</f>
        <v>91</v>
      </c>
    </row>
    <row r="32" spans="1:5" ht="16.5" customHeight="1" x14ac:dyDescent="0.4">
      <c r="A32" s="3" t="s">
        <v>4</v>
      </c>
      <c r="B32" s="6">
        <f>'DAY1'!$D10</f>
        <v>16</v>
      </c>
      <c r="D32" s="3" t="s">
        <v>4</v>
      </c>
      <c r="E32" s="17">
        <f>'DAY1'!J10</f>
        <v>115</v>
      </c>
    </row>
    <row r="33" spans="1:5" ht="16.5" customHeight="1" x14ac:dyDescent="0.4">
      <c r="A33" s="3" t="s">
        <v>5</v>
      </c>
      <c r="B33" s="6">
        <f>'DAY1'!$D11</f>
        <v>30</v>
      </c>
      <c r="D33" s="3" t="s">
        <v>5</v>
      </c>
      <c r="E33" s="17">
        <f>'DAY1'!J11</f>
        <v>256</v>
      </c>
    </row>
    <row r="34" spans="1:5" ht="16.5" customHeight="1" x14ac:dyDescent="0.4">
      <c r="A34" s="3" t="s">
        <v>6</v>
      </c>
      <c r="B34" s="6">
        <f>'DAY1'!$D12</f>
        <v>23</v>
      </c>
      <c r="D34" s="3" t="s">
        <v>6</v>
      </c>
      <c r="E34" s="17">
        <f>'DAY1'!J12</f>
        <v>144</v>
      </c>
    </row>
    <row r="35" spans="1:5" ht="16.5" customHeight="1" x14ac:dyDescent="0.4">
      <c r="A35" s="3" t="s">
        <v>7</v>
      </c>
      <c r="B35" s="6">
        <f>'DAY1'!$D13</f>
        <v>5</v>
      </c>
      <c r="D35" s="3" t="s">
        <v>7</v>
      </c>
      <c r="E35" s="17">
        <f>'DAY1'!J13</f>
        <v>71</v>
      </c>
    </row>
    <row r="36" spans="1:5" x14ac:dyDescent="0.4">
      <c r="A36" s="3" t="s">
        <v>8</v>
      </c>
      <c r="B36" s="6">
        <f>'DAY1'!$D14</f>
        <v>57</v>
      </c>
      <c r="D36" s="3" t="s">
        <v>8</v>
      </c>
      <c r="E36" s="17">
        <f>'DAY1'!J14</f>
        <v>309</v>
      </c>
    </row>
    <row r="37" spans="1:5" x14ac:dyDescent="0.4">
      <c r="A37" s="3" t="s">
        <v>9</v>
      </c>
      <c r="B37" s="6">
        <f>'DAY1'!$D15</f>
        <v>17</v>
      </c>
      <c r="D37" s="3" t="s">
        <v>9</v>
      </c>
      <c r="E37" s="17">
        <f>'DAY1'!J15</f>
        <v>259</v>
      </c>
    </row>
    <row r="38" spans="1:5" x14ac:dyDescent="0.4">
      <c r="A38" s="3" t="s">
        <v>10</v>
      </c>
      <c r="B38" s="6">
        <f>'DAY1'!$D16</f>
        <v>5</v>
      </c>
      <c r="D38" s="3" t="s">
        <v>10</v>
      </c>
      <c r="E38" s="17">
        <f>'DAY1'!J16</f>
        <v>87</v>
      </c>
    </row>
    <row r="39" spans="1:5" x14ac:dyDescent="0.4">
      <c r="A39" s="3" t="s">
        <v>11</v>
      </c>
      <c r="B39" s="6">
        <f>'DAY1'!$D17</f>
        <v>10</v>
      </c>
      <c r="D39" s="3" t="s">
        <v>11</v>
      </c>
      <c r="E39" s="17">
        <f>'DAY1'!J17</f>
        <v>43</v>
      </c>
    </row>
    <row r="40" spans="1:5" x14ac:dyDescent="0.4">
      <c r="A40" s="3" t="s">
        <v>12</v>
      </c>
      <c r="B40" s="6">
        <f>'DAY1'!$D18</f>
        <v>7</v>
      </c>
      <c r="D40" s="3" t="s">
        <v>12</v>
      </c>
      <c r="E40" s="17">
        <f>'DAY1'!J18</f>
        <v>52</v>
      </c>
    </row>
    <row r="41" spans="1:5" x14ac:dyDescent="0.4">
      <c r="A41" s="4" t="s">
        <v>13</v>
      </c>
      <c r="B41" s="7">
        <f>'DAY1'!$D19</f>
        <v>207</v>
      </c>
      <c r="D41" s="4" t="s">
        <v>13</v>
      </c>
      <c r="E41" s="17">
        <f>'DAY1'!J19</f>
        <v>1719</v>
      </c>
    </row>
    <row r="42" spans="1:5" x14ac:dyDescent="0.4">
      <c r="A42" s="3" t="s">
        <v>14</v>
      </c>
      <c r="B42" s="6">
        <f>'DAY1'!$D20</f>
        <v>46</v>
      </c>
      <c r="D42" s="3" t="s">
        <v>14</v>
      </c>
      <c r="E42" s="17">
        <f>'DAY1'!J20</f>
        <v>428</v>
      </c>
    </row>
    <row r="43" spans="1:5" x14ac:dyDescent="0.4">
      <c r="A43" s="3" t="s">
        <v>15</v>
      </c>
      <c r="B43" s="6">
        <f>'DAY1'!$D21</f>
        <v>17</v>
      </c>
      <c r="D43" s="3" t="s">
        <v>15</v>
      </c>
      <c r="E43" s="17">
        <f>'DAY1'!J21</f>
        <v>177</v>
      </c>
    </row>
    <row r="44" spans="1:5" x14ac:dyDescent="0.4">
      <c r="A44" s="3" t="s">
        <v>16</v>
      </c>
      <c r="B44" s="6">
        <f>'DAY1'!$D22</f>
        <v>9</v>
      </c>
      <c r="D44" s="3" t="s">
        <v>16</v>
      </c>
      <c r="E44" s="17">
        <f>'DAY1'!J22</f>
        <v>124</v>
      </c>
    </row>
    <row r="45" spans="1:5" x14ac:dyDescent="0.4">
      <c r="A45" s="3" t="s">
        <v>17</v>
      </c>
      <c r="B45" s="6">
        <f>'DAY1'!$D23</f>
        <v>20</v>
      </c>
      <c r="D45" s="3" t="s">
        <v>17</v>
      </c>
      <c r="E45" s="17">
        <f>'DAY1'!J23</f>
        <v>144</v>
      </c>
    </row>
    <row r="46" spans="1:5" x14ac:dyDescent="0.4">
      <c r="A46" s="3" t="s">
        <v>18</v>
      </c>
      <c r="B46" s="6">
        <f>'DAY1'!$D24</f>
        <v>22</v>
      </c>
      <c r="D46" s="3" t="s">
        <v>18</v>
      </c>
      <c r="E46" s="17">
        <f>'DAY1'!J24</f>
        <v>160</v>
      </c>
    </row>
    <row r="47" spans="1:5" x14ac:dyDescent="0.4">
      <c r="A47" s="3" t="s">
        <v>19</v>
      </c>
      <c r="B47" s="6">
        <f>'DAY1'!$D25</f>
        <v>44</v>
      </c>
      <c r="D47" s="3" t="s">
        <v>19</v>
      </c>
      <c r="E47" s="17">
        <f>'DAY1'!J25</f>
        <v>442</v>
      </c>
    </row>
    <row r="48" spans="1:5" x14ac:dyDescent="0.4">
      <c r="A48" s="3" t="s">
        <v>20</v>
      </c>
      <c r="B48" s="6">
        <f>'DAY1'!$D26</f>
        <v>44</v>
      </c>
      <c r="D48" s="3" t="s">
        <v>20</v>
      </c>
      <c r="E48" s="17">
        <f>'DAY1'!J26</f>
        <v>566</v>
      </c>
    </row>
    <row r="49" spans="1:5" x14ac:dyDescent="0.4">
      <c r="A49" s="3" t="s">
        <v>21</v>
      </c>
      <c r="B49" s="6">
        <f>'DAY1'!$D27</f>
        <v>7</v>
      </c>
      <c r="D49" s="3" t="s">
        <v>21</v>
      </c>
      <c r="E49" s="17">
        <f>'DAY1'!J27</f>
        <v>143</v>
      </c>
    </row>
    <row r="50" spans="1:5" x14ac:dyDescent="0.4">
      <c r="A50" s="3" t="s">
        <v>22</v>
      </c>
      <c r="B50" s="6">
        <f>'DAY1'!$D28</f>
        <v>6</v>
      </c>
      <c r="D50" s="3" t="s">
        <v>22</v>
      </c>
      <c r="E50" s="17">
        <f>'DAY1'!J28</f>
        <v>86</v>
      </c>
    </row>
    <row r="51" spans="1:5" x14ac:dyDescent="0.4">
      <c r="A51" s="4" t="s">
        <v>23</v>
      </c>
      <c r="B51" s="7">
        <f>'DAY1'!$D29</f>
        <v>215</v>
      </c>
      <c r="D51" s="4" t="s">
        <v>30</v>
      </c>
      <c r="E51" s="17">
        <f>'DAY1'!J29</f>
        <v>2270</v>
      </c>
    </row>
    <row r="52" spans="1:5" x14ac:dyDescent="0.4">
      <c r="A52" s="5" t="s">
        <v>24</v>
      </c>
      <c r="B52" s="8">
        <f>'DAY1'!$D30</f>
        <v>422</v>
      </c>
      <c r="D52" s="5" t="s">
        <v>24</v>
      </c>
      <c r="E52" s="17">
        <f>'DAY1'!J30</f>
        <v>3989</v>
      </c>
    </row>
    <row r="55" spans="1:5" x14ac:dyDescent="0.4">
      <c r="A55" s="2" t="s">
        <v>33</v>
      </c>
      <c r="B55" s="25">
        <f>B1</f>
        <v>45986</v>
      </c>
    </row>
    <row r="56" spans="1:5" x14ac:dyDescent="0.4">
      <c r="A56" s="3" t="s">
        <v>1</v>
      </c>
      <c r="B56" s="6">
        <f>'DAY1'!$E7</f>
        <v>19</v>
      </c>
    </row>
    <row r="57" spans="1:5" x14ac:dyDescent="0.4">
      <c r="A57" s="3" t="s">
        <v>2</v>
      </c>
      <c r="B57" s="6">
        <f>'DAY1'!$E8</f>
        <v>8</v>
      </c>
    </row>
    <row r="58" spans="1:5" x14ac:dyDescent="0.4">
      <c r="A58" s="3" t="s">
        <v>3</v>
      </c>
      <c r="B58" s="6">
        <f>'DAY1'!$E9</f>
        <v>17</v>
      </c>
    </row>
    <row r="59" spans="1:5" x14ac:dyDescent="0.4">
      <c r="A59" s="3" t="s">
        <v>4</v>
      </c>
      <c r="B59" s="6">
        <f>'DAY1'!$E10</f>
        <v>15</v>
      </c>
    </row>
    <row r="60" spans="1:5" x14ac:dyDescent="0.4">
      <c r="A60" s="3" t="s">
        <v>5</v>
      </c>
      <c r="B60" s="6">
        <f>'DAY1'!$E11</f>
        <v>29</v>
      </c>
    </row>
    <row r="61" spans="1:5" x14ac:dyDescent="0.4">
      <c r="A61" s="3" t="s">
        <v>6</v>
      </c>
      <c r="B61" s="6">
        <f>'DAY1'!$E12</f>
        <v>22</v>
      </c>
    </row>
    <row r="62" spans="1:5" x14ac:dyDescent="0.4">
      <c r="A62" s="3" t="s">
        <v>7</v>
      </c>
      <c r="B62" s="6">
        <f>'DAY1'!$E13</f>
        <v>10</v>
      </c>
    </row>
    <row r="63" spans="1:5" x14ac:dyDescent="0.4">
      <c r="A63" s="3" t="s">
        <v>8</v>
      </c>
      <c r="B63" s="6">
        <f>'DAY1'!$E14</f>
        <v>35</v>
      </c>
    </row>
    <row r="64" spans="1:5" x14ac:dyDescent="0.4">
      <c r="A64" s="3" t="s">
        <v>9</v>
      </c>
      <c r="B64" s="6">
        <f>'DAY1'!$E15</f>
        <v>24</v>
      </c>
    </row>
    <row r="65" spans="1:2" x14ac:dyDescent="0.4">
      <c r="A65" s="3" t="s">
        <v>10</v>
      </c>
      <c r="B65" s="6">
        <f>'DAY1'!$E16</f>
        <v>5</v>
      </c>
    </row>
    <row r="66" spans="1:2" x14ac:dyDescent="0.4">
      <c r="A66" s="3" t="s">
        <v>11</v>
      </c>
      <c r="B66" s="6">
        <f>'DAY1'!$E17</f>
        <v>10</v>
      </c>
    </row>
    <row r="67" spans="1:2" x14ac:dyDescent="0.4">
      <c r="A67" s="3" t="s">
        <v>12</v>
      </c>
      <c r="B67" s="6">
        <f>'DAY1'!$E18</f>
        <v>9</v>
      </c>
    </row>
    <row r="68" spans="1:2" x14ac:dyDescent="0.4">
      <c r="A68" s="4" t="s">
        <v>13</v>
      </c>
      <c r="B68" s="7">
        <f>'DAY1'!$E19</f>
        <v>203</v>
      </c>
    </row>
    <row r="69" spans="1:2" x14ac:dyDescent="0.4">
      <c r="A69" s="3" t="s">
        <v>14</v>
      </c>
      <c r="B69" s="6">
        <f>'DAY1'!$E20</f>
        <v>51</v>
      </c>
    </row>
    <row r="70" spans="1:2" x14ac:dyDescent="0.4">
      <c r="A70" s="3" t="s">
        <v>15</v>
      </c>
      <c r="B70" s="6">
        <f>'DAY1'!$E21</f>
        <v>14</v>
      </c>
    </row>
    <row r="71" spans="1:2" x14ac:dyDescent="0.4">
      <c r="A71" s="3" t="s">
        <v>16</v>
      </c>
      <c r="B71" s="6">
        <f>'DAY1'!$E22</f>
        <v>13</v>
      </c>
    </row>
    <row r="72" spans="1:2" x14ac:dyDescent="0.4">
      <c r="A72" s="3" t="s">
        <v>17</v>
      </c>
      <c r="B72" s="6">
        <f>'DAY1'!$E23</f>
        <v>11</v>
      </c>
    </row>
    <row r="73" spans="1:2" x14ac:dyDescent="0.4">
      <c r="A73" s="3" t="s">
        <v>18</v>
      </c>
      <c r="B73" s="6">
        <f>'DAY1'!$E24</f>
        <v>11</v>
      </c>
    </row>
    <row r="74" spans="1:2" x14ac:dyDescent="0.4">
      <c r="A74" s="3" t="s">
        <v>19</v>
      </c>
      <c r="B74" s="6">
        <f>'DAY1'!$E25</f>
        <v>22</v>
      </c>
    </row>
    <row r="75" spans="1:2" x14ac:dyDescent="0.4">
      <c r="A75" s="3" t="s">
        <v>20</v>
      </c>
      <c r="B75" s="6">
        <f>'DAY1'!$E26</f>
        <v>32</v>
      </c>
    </row>
    <row r="76" spans="1:2" x14ac:dyDescent="0.4">
      <c r="A76" s="3" t="s">
        <v>21</v>
      </c>
      <c r="B76" s="6">
        <f>'DAY1'!$E27</f>
        <v>2</v>
      </c>
    </row>
    <row r="77" spans="1:2" x14ac:dyDescent="0.4">
      <c r="A77" s="3" t="s">
        <v>22</v>
      </c>
      <c r="B77" s="6">
        <f>'DAY1'!$E28</f>
        <v>0</v>
      </c>
    </row>
    <row r="78" spans="1:2" x14ac:dyDescent="0.4">
      <c r="A78" s="4" t="s">
        <v>23</v>
      </c>
      <c r="B78" s="7">
        <f>'DAY1'!$E29</f>
        <v>156</v>
      </c>
    </row>
    <row r="79" spans="1:2" x14ac:dyDescent="0.4">
      <c r="A79" s="5" t="s">
        <v>24</v>
      </c>
      <c r="B79" s="8">
        <f>'DAY1'!$E30</f>
        <v>359</v>
      </c>
    </row>
    <row r="82" spans="1:2" x14ac:dyDescent="0.4">
      <c r="A82" s="2" t="s">
        <v>35</v>
      </c>
      <c r="B82" s="25">
        <f>B1</f>
        <v>45986</v>
      </c>
    </row>
    <row r="83" spans="1:2" x14ac:dyDescent="0.4">
      <c r="A83" s="3" t="s">
        <v>1</v>
      </c>
      <c r="B83" s="6">
        <f>'DAY1'!K7</f>
        <v>23</v>
      </c>
    </row>
    <row r="84" spans="1:2" x14ac:dyDescent="0.4">
      <c r="A84" s="3" t="s">
        <v>2</v>
      </c>
      <c r="B84" s="6">
        <f>'DAY1'!K8</f>
        <v>17</v>
      </c>
    </row>
    <row r="85" spans="1:2" x14ac:dyDescent="0.4">
      <c r="A85" s="3" t="s">
        <v>3</v>
      </c>
      <c r="B85" s="6">
        <f>'DAY1'!K9</f>
        <v>26</v>
      </c>
    </row>
    <row r="86" spans="1:2" x14ac:dyDescent="0.4">
      <c r="A86" s="3" t="s">
        <v>4</v>
      </c>
      <c r="B86" s="6">
        <f>'DAY1'!K10</f>
        <v>12</v>
      </c>
    </row>
    <row r="87" spans="1:2" x14ac:dyDescent="0.4">
      <c r="A87" s="3" t="s">
        <v>5</v>
      </c>
      <c r="B87" s="6">
        <f>'DAY1'!K11</f>
        <v>46</v>
      </c>
    </row>
    <row r="88" spans="1:2" x14ac:dyDescent="0.4">
      <c r="A88" s="3" t="s">
        <v>6</v>
      </c>
      <c r="B88" s="6">
        <f>'DAY1'!K12</f>
        <v>34</v>
      </c>
    </row>
    <row r="89" spans="1:2" x14ac:dyDescent="0.4">
      <c r="A89" s="3" t="s">
        <v>7</v>
      </c>
      <c r="B89" s="6">
        <f>'DAY1'!K13</f>
        <v>18</v>
      </c>
    </row>
    <row r="90" spans="1:2" x14ac:dyDescent="0.4">
      <c r="A90" s="3" t="s">
        <v>8</v>
      </c>
      <c r="B90" s="6">
        <f>'DAY1'!K14</f>
        <v>81</v>
      </c>
    </row>
    <row r="91" spans="1:2" x14ac:dyDescent="0.4">
      <c r="A91" s="3" t="s">
        <v>9</v>
      </c>
      <c r="B91" s="6">
        <f>'DAY1'!K15</f>
        <v>28</v>
      </c>
    </row>
    <row r="92" spans="1:2" x14ac:dyDescent="0.4">
      <c r="A92" s="3" t="s">
        <v>10</v>
      </c>
      <c r="B92" s="6">
        <f>'DAY1'!K16</f>
        <v>14</v>
      </c>
    </row>
    <row r="93" spans="1:2" x14ac:dyDescent="0.4">
      <c r="A93" s="3" t="s">
        <v>11</v>
      </c>
      <c r="B93" s="6">
        <f>'DAY1'!K17</f>
        <v>8</v>
      </c>
    </row>
    <row r="94" spans="1:2" x14ac:dyDescent="0.4">
      <c r="A94" s="3" t="s">
        <v>12</v>
      </c>
      <c r="B94" s="6">
        <f>'DAY1'!K18</f>
        <v>5</v>
      </c>
    </row>
    <row r="95" spans="1:2" x14ac:dyDescent="0.4">
      <c r="A95" s="4" t="s">
        <v>25</v>
      </c>
      <c r="B95" s="7">
        <f>'DAY1'!K19</f>
        <v>312</v>
      </c>
    </row>
    <row r="96" spans="1:2" x14ac:dyDescent="0.4">
      <c r="A96" s="3" t="s">
        <v>14</v>
      </c>
      <c r="B96" s="6">
        <f>'DAY1'!K20</f>
        <v>55</v>
      </c>
    </row>
    <row r="97" spans="1:3" x14ac:dyDescent="0.4">
      <c r="A97" s="3" t="s">
        <v>15</v>
      </c>
      <c r="B97" s="6">
        <f>'DAY1'!K21</f>
        <v>24</v>
      </c>
    </row>
    <row r="98" spans="1:3" x14ac:dyDescent="0.4">
      <c r="A98" s="3" t="s">
        <v>16</v>
      </c>
      <c r="B98" s="6">
        <f>'DAY1'!K22</f>
        <v>11</v>
      </c>
    </row>
    <row r="99" spans="1:3" x14ac:dyDescent="0.4">
      <c r="A99" s="3" t="s">
        <v>17</v>
      </c>
      <c r="B99" s="6">
        <f>'DAY1'!K23</f>
        <v>12</v>
      </c>
    </row>
    <row r="100" spans="1:3" x14ac:dyDescent="0.4">
      <c r="A100" s="3" t="s">
        <v>18</v>
      </c>
      <c r="B100" s="6">
        <f>'DAY1'!K24</f>
        <v>12</v>
      </c>
    </row>
    <row r="101" spans="1:3" x14ac:dyDescent="0.4">
      <c r="A101" s="3" t="s">
        <v>19</v>
      </c>
      <c r="B101" s="6">
        <f>'DAY1'!K25</f>
        <v>43</v>
      </c>
    </row>
    <row r="102" spans="1:3" x14ac:dyDescent="0.4">
      <c r="A102" s="3" t="s">
        <v>20</v>
      </c>
      <c r="B102" s="6">
        <f>'DAY1'!K26</f>
        <v>51</v>
      </c>
    </row>
    <row r="103" spans="1:3" x14ac:dyDescent="0.4">
      <c r="A103" s="3" t="s">
        <v>21</v>
      </c>
      <c r="B103" s="6">
        <f>'DAY1'!K27</f>
        <v>23</v>
      </c>
    </row>
    <row r="104" spans="1:3" x14ac:dyDescent="0.4">
      <c r="A104" s="3" t="s">
        <v>22</v>
      </c>
      <c r="B104" s="6">
        <f>'DAY1'!K28</f>
        <v>10</v>
      </c>
    </row>
    <row r="105" spans="1:3" x14ac:dyDescent="0.4">
      <c r="A105" s="4" t="s">
        <v>23</v>
      </c>
      <c r="B105" s="7">
        <f>'DAY1'!K29</f>
        <v>241</v>
      </c>
    </row>
    <row r="106" spans="1:3" x14ac:dyDescent="0.4">
      <c r="A106" s="5" t="s">
        <v>26</v>
      </c>
      <c r="B106" s="8">
        <f>'DAY1'!K30</f>
        <v>553</v>
      </c>
    </row>
    <row r="107" spans="1:3" x14ac:dyDescent="0.4">
      <c r="A107" s="19"/>
      <c r="B107" s="20"/>
      <c r="C107" s="19"/>
    </row>
    <row r="109" spans="1:3" x14ac:dyDescent="0.4">
      <c r="A109" s="2" t="s">
        <v>34</v>
      </c>
      <c r="B109" s="25">
        <f>B1</f>
        <v>45986</v>
      </c>
    </row>
    <row r="110" spans="1:3" x14ac:dyDescent="0.4">
      <c r="A110" s="3" t="s">
        <v>1</v>
      </c>
      <c r="B110" s="6">
        <f>'DAY1'!$G7</f>
        <v>32</v>
      </c>
    </row>
    <row r="111" spans="1:3" x14ac:dyDescent="0.4">
      <c r="A111" s="3" t="s">
        <v>2</v>
      </c>
      <c r="B111" s="6">
        <f>'DAY1'!$G8</f>
        <v>13</v>
      </c>
    </row>
    <row r="112" spans="1:3" x14ac:dyDescent="0.4">
      <c r="A112" s="3" t="s">
        <v>3</v>
      </c>
      <c r="B112" s="6">
        <f>'DAY1'!$G9</f>
        <v>17</v>
      </c>
    </row>
    <row r="113" spans="1:2" x14ac:dyDescent="0.4">
      <c r="A113" s="3" t="s">
        <v>4</v>
      </c>
      <c r="B113" s="6">
        <f>'DAY1'!$G10</f>
        <v>17</v>
      </c>
    </row>
    <row r="114" spans="1:2" x14ac:dyDescent="0.4">
      <c r="A114" s="3" t="s">
        <v>5</v>
      </c>
      <c r="B114" s="6">
        <f>'DAY1'!$G11</f>
        <v>40</v>
      </c>
    </row>
    <row r="115" spans="1:2" x14ac:dyDescent="0.4">
      <c r="A115" s="3" t="s">
        <v>6</v>
      </c>
      <c r="B115" s="6">
        <f>'DAY1'!$G12</f>
        <v>12</v>
      </c>
    </row>
    <row r="116" spans="1:2" x14ac:dyDescent="0.4">
      <c r="A116" s="3" t="s">
        <v>7</v>
      </c>
      <c r="B116" s="6">
        <f>'DAY1'!$G13</f>
        <v>29</v>
      </c>
    </row>
    <row r="117" spans="1:2" x14ac:dyDescent="0.4">
      <c r="A117" s="3" t="s">
        <v>8</v>
      </c>
      <c r="B117" s="6">
        <f>'DAY1'!$G14</f>
        <v>52</v>
      </c>
    </row>
    <row r="118" spans="1:2" x14ac:dyDescent="0.4">
      <c r="A118" s="3" t="s">
        <v>9</v>
      </c>
      <c r="B118" s="6">
        <f>'DAY1'!$G15</f>
        <v>15</v>
      </c>
    </row>
    <row r="119" spans="1:2" x14ac:dyDescent="0.4">
      <c r="A119" s="3" t="s">
        <v>10</v>
      </c>
      <c r="B119" s="6">
        <f>'DAY1'!$G16</f>
        <v>23</v>
      </c>
    </row>
    <row r="120" spans="1:2" x14ac:dyDescent="0.4">
      <c r="A120" s="3" t="s">
        <v>11</v>
      </c>
      <c r="B120" s="6">
        <f>'DAY1'!$G17</f>
        <v>19</v>
      </c>
    </row>
    <row r="121" spans="1:2" x14ac:dyDescent="0.4">
      <c r="A121" s="3" t="s">
        <v>12</v>
      </c>
      <c r="B121" s="6">
        <f>'DAY1'!$G18</f>
        <v>6</v>
      </c>
    </row>
    <row r="122" spans="1:2" x14ac:dyDescent="0.4">
      <c r="A122" s="4" t="s">
        <v>25</v>
      </c>
      <c r="B122" s="7">
        <f>'DAY1'!$G19</f>
        <v>275</v>
      </c>
    </row>
    <row r="123" spans="1:2" x14ac:dyDescent="0.4">
      <c r="A123" s="3" t="s">
        <v>14</v>
      </c>
      <c r="B123" s="6">
        <f>'DAY1'!$G20</f>
        <v>71</v>
      </c>
    </row>
    <row r="124" spans="1:2" x14ac:dyDescent="0.4">
      <c r="A124" s="3" t="s">
        <v>15</v>
      </c>
      <c r="B124" s="6">
        <f>'DAY1'!$G21</f>
        <v>18</v>
      </c>
    </row>
    <row r="125" spans="1:2" x14ac:dyDescent="0.4">
      <c r="A125" s="3" t="s">
        <v>16</v>
      </c>
      <c r="B125" s="6">
        <f>'DAY1'!$G22</f>
        <v>11</v>
      </c>
    </row>
    <row r="126" spans="1:2" x14ac:dyDescent="0.4">
      <c r="A126" s="3" t="s">
        <v>17</v>
      </c>
      <c r="B126" s="6">
        <f>'DAY1'!$G23</f>
        <v>11</v>
      </c>
    </row>
    <row r="127" spans="1:2" x14ac:dyDescent="0.4">
      <c r="A127" s="3" t="s">
        <v>18</v>
      </c>
      <c r="B127" s="6">
        <f>'DAY1'!$G24</f>
        <v>66</v>
      </c>
    </row>
    <row r="128" spans="1:2" x14ac:dyDescent="0.4">
      <c r="A128" s="3" t="s">
        <v>19</v>
      </c>
      <c r="B128" s="6">
        <f>'DAY1'!$G25</f>
        <v>59</v>
      </c>
    </row>
    <row r="129" spans="1:2" x14ac:dyDescent="0.4">
      <c r="A129" s="3" t="s">
        <v>20</v>
      </c>
      <c r="B129" s="6">
        <f>'DAY1'!$G26</f>
        <v>82</v>
      </c>
    </row>
    <row r="130" spans="1:2" x14ac:dyDescent="0.4">
      <c r="A130" s="3" t="s">
        <v>21</v>
      </c>
      <c r="B130" s="6">
        <f>'DAY1'!$G27</f>
        <v>22</v>
      </c>
    </row>
    <row r="131" spans="1:2" x14ac:dyDescent="0.4">
      <c r="A131" s="3" t="s">
        <v>22</v>
      </c>
      <c r="B131" s="6">
        <f>'DAY1'!$G28</f>
        <v>10</v>
      </c>
    </row>
    <row r="132" spans="1:2" x14ac:dyDescent="0.4">
      <c r="A132" s="4" t="s">
        <v>23</v>
      </c>
      <c r="B132" s="7">
        <f>'DAY1'!$G29</f>
        <v>350</v>
      </c>
    </row>
    <row r="133" spans="1:2" x14ac:dyDescent="0.4">
      <c r="A133" s="5" t="s">
        <v>26</v>
      </c>
      <c r="B133" s="8">
        <f>'DAY1'!$G30</f>
        <v>625</v>
      </c>
    </row>
    <row r="136" spans="1:2" x14ac:dyDescent="0.4">
      <c r="A136" s="2" t="s">
        <v>40</v>
      </c>
      <c r="B136" s="25">
        <f>B1</f>
        <v>45986</v>
      </c>
    </row>
    <row r="137" spans="1:2" x14ac:dyDescent="0.4">
      <c r="A137" s="3" t="s">
        <v>1</v>
      </c>
      <c r="B137" s="6">
        <f>'DAY1'!$F7</f>
        <v>2</v>
      </c>
    </row>
    <row r="138" spans="1:2" x14ac:dyDescent="0.4">
      <c r="A138" s="3" t="s">
        <v>2</v>
      </c>
      <c r="B138" s="6">
        <f>'DAY1'!$F8</f>
        <v>0</v>
      </c>
    </row>
    <row r="139" spans="1:2" x14ac:dyDescent="0.4">
      <c r="A139" s="3" t="s">
        <v>3</v>
      </c>
      <c r="B139" s="6">
        <f>'DAY1'!$F9</f>
        <v>2</v>
      </c>
    </row>
    <row r="140" spans="1:2" x14ac:dyDescent="0.4">
      <c r="A140" s="3" t="s">
        <v>4</v>
      </c>
      <c r="B140" s="6">
        <f>'DAY1'!$F10</f>
        <v>1</v>
      </c>
    </row>
    <row r="141" spans="1:2" x14ac:dyDescent="0.4">
      <c r="A141" s="3" t="s">
        <v>5</v>
      </c>
      <c r="B141" s="6">
        <f>'DAY1'!$F11</f>
        <v>8</v>
      </c>
    </row>
    <row r="142" spans="1:2" x14ac:dyDescent="0.4">
      <c r="A142" s="3" t="s">
        <v>6</v>
      </c>
      <c r="B142" s="6">
        <f>'DAY1'!$F12</f>
        <v>7</v>
      </c>
    </row>
    <row r="143" spans="1:2" x14ac:dyDescent="0.4">
      <c r="A143" s="3" t="s">
        <v>7</v>
      </c>
      <c r="B143" s="6">
        <f>'DAY1'!$F13</f>
        <v>3</v>
      </c>
    </row>
    <row r="144" spans="1:2" x14ac:dyDescent="0.4">
      <c r="A144" s="3" t="s">
        <v>8</v>
      </c>
      <c r="B144" s="6">
        <f>'DAY1'!$F14</f>
        <v>9</v>
      </c>
    </row>
    <row r="145" spans="1:2" x14ac:dyDescent="0.4">
      <c r="A145" s="3" t="s">
        <v>9</v>
      </c>
      <c r="B145" s="6">
        <f>'DAY1'!$F15</f>
        <v>0</v>
      </c>
    </row>
    <row r="146" spans="1:2" x14ac:dyDescent="0.4">
      <c r="A146" s="3" t="s">
        <v>10</v>
      </c>
      <c r="B146" s="6">
        <f>'DAY1'!$F16</f>
        <v>1</v>
      </c>
    </row>
    <row r="147" spans="1:2" x14ac:dyDescent="0.4">
      <c r="A147" s="3" t="s">
        <v>11</v>
      </c>
      <c r="B147" s="6">
        <f>'DAY1'!$F17</f>
        <v>1</v>
      </c>
    </row>
    <row r="148" spans="1:2" x14ac:dyDescent="0.4">
      <c r="A148" s="3" t="s">
        <v>12</v>
      </c>
      <c r="B148" s="6">
        <f>'DAY1'!$F18</f>
        <v>0</v>
      </c>
    </row>
    <row r="149" spans="1:2" x14ac:dyDescent="0.4">
      <c r="A149" s="4" t="s">
        <v>13</v>
      </c>
      <c r="B149" s="7">
        <f>'DAY1'!$F19</f>
        <v>34</v>
      </c>
    </row>
    <row r="150" spans="1:2" x14ac:dyDescent="0.4">
      <c r="A150" s="3" t="s">
        <v>14</v>
      </c>
      <c r="B150" s="6">
        <f>'DAY1'!$F20</f>
        <v>1</v>
      </c>
    </row>
    <row r="151" spans="1:2" x14ac:dyDescent="0.4">
      <c r="A151" s="3" t="s">
        <v>15</v>
      </c>
      <c r="B151" s="6">
        <f>'DAY1'!$F21</f>
        <v>2</v>
      </c>
    </row>
    <row r="152" spans="1:2" x14ac:dyDescent="0.4">
      <c r="A152" s="3" t="s">
        <v>16</v>
      </c>
      <c r="B152" s="6">
        <f>'DAY1'!$F22</f>
        <v>1</v>
      </c>
    </row>
    <row r="153" spans="1:2" x14ac:dyDescent="0.4">
      <c r="A153" s="3" t="s">
        <v>17</v>
      </c>
      <c r="B153" s="6">
        <f>'DAY1'!$F23</f>
        <v>3</v>
      </c>
    </row>
    <row r="154" spans="1:2" x14ac:dyDescent="0.4">
      <c r="A154" s="3" t="s">
        <v>18</v>
      </c>
      <c r="B154" s="6">
        <f>'DAY1'!$F24</f>
        <v>2</v>
      </c>
    </row>
    <row r="155" spans="1:2" x14ac:dyDescent="0.4">
      <c r="A155" s="3" t="s">
        <v>19</v>
      </c>
      <c r="B155" s="6">
        <f>'DAY1'!$F25</f>
        <v>4</v>
      </c>
    </row>
    <row r="156" spans="1:2" x14ac:dyDescent="0.4">
      <c r="A156" s="3" t="s">
        <v>20</v>
      </c>
      <c r="B156" s="6">
        <f>'DAY1'!$F26</f>
        <v>0</v>
      </c>
    </row>
    <row r="157" spans="1:2" x14ac:dyDescent="0.4">
      <c r="A157" s="3" t="s">
        <v>21</v>
      </c>
      <c r="B157" s="6">
        <f>'DAY1'!$F27</f>
        <v>0</v>
      </c>
    </row>
    <row r="158" spans="1:2" x14ac:dyDescent="0.4">
      <c r="A158" s="3" t="s">
        <v>22</v>
      </c>
      <c r="B158" s="6">
        <f>'DAY1'!$F28</f>
        <v>0</v>
      </c>
    </row>
    <row r="159" spans="1:2" x14ac:dyDescent="0.4">
      <c r="A159" s="4" t="s">
        <v>23</v>
      </c>
      <c r="B159" s="7">
        <f>'DAY1'!$F29</f>
        <v>13</v>
      </c>
    </row>
    <row r="160" spans="1:2" x14ac:dyDescent="0.4">
      <c r="A160" s="5" t="s">
        <v>24</v>
      </c>
      <c r="B160" s="8">
        <f>'DAY1'!$F30</f>
        <v>47</v>
      </c>
    </row>
    <row r="162" spans="1:5" s="31" customFormat="1" x14ac:dyDescent="0.4">
      <c r="A162" s="29"/>
      <c r="B162" s="30"/>
      <c r="C162" s="29"/>
      <c r="D162" s="29"/>
      <c r="E162" s="29"/>
    </row>
    <row r="163" spans="1:5" x14ac:dyDescent="0.4">
      <c r="A163" s="2" t="s">
        <v>27</v>
      </c>
      <c r="B163" s="25">
        <f>B1</f>
        <v>45986</v>
      </c>
      <c r="D163" s="2" t="s">
        <v>28</v>
      </c>
      <c r="E163" s="25">
        <f>B163</f>
        <v>45986</v>
      </c>
    </row>
    <row r="164" spans="1:5" x14ac:dyDescent="0.4">
      <c r="A164" s="3" t="s">
        <v>1</v>
      </c>
      <c r="B164" s="6">
        <f>'DAY1'!$I91</f>
        <v>92417</v>
      </c>
      <c r="D164" s="3" t="s">
        <v>1</v>
      </c>
      <c r="E164" s="13">
        <f>'DAY1'!$H91</f>
        <v>-14</v>
      </c>
    </row>
    <row r="165" spans="1:5" x14ac:dyDescent="0.4">
      <c r="A165" s="3" t="s">
        <v>2</v>
      </c>
      <c r="B165" s="6">
        <f>'DAY1'!$I92</f>
        <v>48833</v>
      </c>
      <c r="D165" s="3" t="s">
        <v>2</v>
      </c>
      <c r="E165" s="13">
        <f>'DAY1'!$H92</f>
        <v>-2</v>
      </c>
    </row>
    <row r="166" spans="1:5" x14ac:dyDescent="0.4">
      <c r="A166" s="3" t="s">
        <v>3</v>
      </c>
      <c r="B166" s="6">
        <f>'DAY1'!$I93</f>
        <v>36564</v>
      </c>
      <c r="D166" s="3" t="s">
        <v>3</v>
      </c>
      <c r="E166" s="13">
        <f>'DAY1'!$H93</f>
        <v>3</v>
      </c>
    </row>
    <row r="167" spans="1:5" x14ac:dyDescent="0.4">
      <c r="A167" s="3" t="s">
        <v>4</v>
      </c>
      <c r="B167" s="6">
        <f>'DAY1'!$I94</f>
        <v>56655</v>
      </c>
      <c r="D167" s="3" t="s">
        <v>4</v>
      </c>
      <c r="E167" s="13">
        <f>'DAY1'!$H94</f>
        <v>-3</v>
      </c>
    </row>
    <row r="168" spans="1:5" x14ac:dyDescent="0.4">
      <c r="A168" s="3" t="s">
        <v>5</v>
      </c>
      <c r="B168" s="6">
        <f>'DAY1'!$I95</f>
        <v>138925</v>
      </c>
      <c r="D168" s="3" t="s">
        <v>5</v>
      </c>
      <c r="E168" s="13">
        <f>'DAY1'!$H95</f>
        <v>-15</v>
      </c>
    </row>
    <row r="169" spans="1:5" x14ac:dyDescent="0.4">
      <c r="A169" s="3" t="s">
        <v>6</v>
      </c>
      <c r="B169" s="6">
        <f>'DAY1'!$I96</f>
        <v>97459</v>
      </c>
      <c r="D169" s="3" t="s">
        <v>6</v>
      </c>
      <c r="E169" s="13">
        <f>'DAY1'!$H96</f>
        <v>9</v>
      </c>
    </row>
    <row r="170" spans="1:5" x14ac:dyDescent="0.4">
      <c r="A170" s="3" t="s">
        <v>7</v>
      </c>
      <c r="B170" s="6">
        <f>'DAY1'!$I97</f>
        <v>60389</v>
      </c>
      <c r="D170" s="3" t="s">
        <v>7</v>
      </c>
      <c r="E170" s="13">
        <f>'DAY1'!$H97</f>
        <v>-18</v>
      </c>
    </row>
    <row r="171" spans="1:5" x14ac:dyDescent="0.4">
      <c r="A171" s="3" t="s">
        <v>8</v>
      </c>
      <c r="B171" s="6">
        <f>'DAY1'!$I98</f>
        <v>176300</v>
      </c>
      <c r="D171" s="3" t="s">
        <v>8</v>
      </c>
      <c r="E171" s="13">
        <f>'DAY1'!$H98</f>
        <v>-32</v>
      </c>
    </row>
    <row r="172" spans="1:5" x14ac:dyDescent="0.4">
      <c r="A172" s="3" t="s">
        <v>9</v>
      </c>
      <c r="B172" s="6">
        <f>'DAY1'!$I99</f>
        <v>93720</v>
      </c>
      <c r="D172" s="3" t="s">
        <v>9</v>
      </c>
      <c r="E172" s="13">
        <f>'DAY1'!$H99</f>
        <v>8</v>
      </c>
    </row>
    <row r="173" spans="1:5" x14ac:dyDescent="0.4">
      <c r="A173" s="3" t="s">
        <v>10</v>
      </c>
      <c r="B173" s="6">
        <f>'DAY1'!$I100</f>
        <v>47564</v>
      </c>
      <c r="D173" s="3" t="s">
        <v>10</v>
      </c>
      <c r="E173" s="13">
        <f>'DAY1'!$H100</f>
        <v>-18</v>
      </c>
    </row>
    <row r="174" spans="1:5" x14ac:dyDescent="0.4">
      <c r="A174" s="3" t="s">
        <v>11</v>
      </c>
      <c r="B174" s="6">
        <f>'DAY1'!$I101</f>
        <v>39786</v>
      </c>
      <c r="D174" s="3" t="s">
        <v>11</v>
      </c>
      <c r="E174" s="13">
        <f>'DAY1'!$H101</f>
        <v>-9</v>
      </c>
    </row>
    <row r="175" spans="1:5" x14ac:dyDescent="0.4">
      <c r="A175" s="3" t="s">
        <v>12</v>
      </c>
      <c r="B175" s="6">
        <f>'DAY1'!$I102</f>
        <v>27456</v>
      </c>
      <c r="D175" s="3" t="s">
        <v>12</v>
      </c>
      <c r="E175" s="13">
        <f>'DAY1'!$H102</f>
        <v>3</v>
      </c>
    </row>
    <row r="176" spans="1:5" x14ac:dyDescent="0.4">
      <c r="A176" s="4" t="s">
        <v>13</v>
      </c>
      <c r="B176" s="7">
        <f>'DAY1'!$I103</f>
        <v>916068</v>
      </c>
      <c r="D176" s="4" t="s">
        <v>13</v>
      </c>
      <c r="E176" s="14">
        <f>'DAY1'!$H103</f>
        <v>-88</v>
      </c>
    </row>
    <row r="177" spans="1:5" x14ac:dyDescent="0.4">
      <c r="A177" s="3" t="s">
        <v>14</v>
      </c>
      <c r="B177" s="6">
        <f>'DAY1'!$I104</f>
        <v>226772</v>
      </c>
      <c r="D177" s="3" t="s">
        <v>14</v>
      </c>
      <c r="E177" s="13">
        <f>'DAY1'!$H104</f>
        <v>-27</v>
      </c>
    </row>
    <row r="178" spans="1:5" x14ac:dyDescent="0.4">
      <c r="A178" s="3" t="s">
        <v>15</v>
      </c>
      <c r="B178" s="6">
        <f>'DAY1'!$I105</f>
        <v>79039</v>
      </c>
      <c r="D178" s="3" t="s">
        <v>15</v>
      </c>
      <c r="E178" s="13">
        <f>'DAY1'!$H105</f>
        <v>-6</v>
      </c>
    </row>
    <row r="179" spans="1:5" x14ac:dyDescent="0.4">
      <c r="A179" s="3" t="s">
        <v>16</v>
      </c>
      <c r="B179" s="6">
        <f>'DAY1'!$I106</f>
        <v>42384</v>
      </c>
      <c r="D179" s="3" t="s">
        <v>16</v>
      </c>
      <c r="E179" s="13">
        <f>'DAY1'!$H106</f>
        <v>3</v>
      </c>
    </row>
    <row r="180" spans="1:5" x14ac:dyDescent="0.4">
      <c r="A180" s="3" t="s">
        <v>17</v>
      </c>
      <c r="B180" s="6">
        <f>'DAY1'!$I107</f>
        <v>52374</v>
      </c>
      <c r="D180" s="3" t="s">
        <v>17</v>
      </c>
      <c r="E180" s="13">
        <f>'DAY1'!$H107</f>
        <v>-2</v>
      </c>
    </row>
    <row r="181" spans="1:5" x14ac:dyDescent="0.4">
      <c r="A181" s="3" t="s">
        <v>18</v>
      </c>
      <c r="B181" s="6">
        <f>'DAY1'!$I108</f>
        <v>64576</v>
      </c>
      <c r="D181" s="3" t="s">
        <v>18</v>
      </c>
      <c r="E181" s="13">
        <f>'DAY1'!$H108</f>
        <v>-5</v>
      </c>
    </row>
    <row r="182" spans="1:5" x14ac:dyDescent="0.4">
      <c r="A182" s="3" t="s">
        <v>19</v>
      </c>
      <c r="B182" s="6">
        <f>'DAY1'!$I109</f>
        <v>159562</v>
      </c>
      <c r="D182" s="3" t="s">
        <v>19</v>
      </c>
      <c r="E182" s="13">
        <f>'DAY1'!$H109</f>
        <v>-37</v>
      </c>
    </row>
    <row r="183" spans="1:5" x14ac:dyDescent="0.4">
      <c r="A183" s="3" t="s">
        <v>20</v>
      </c>
      <c r="B183" s="6">
        <f>'DAY1'!$I110</f>
        <v>194346</v>
      </c>
      <c r="D183" s="3" t="s">
        <v>20</v>
      </c>
      <c r="E183" s="13">
        <f>'DAY1'!$H110</f>
        <v>-52</v>
      </c>
    </row>
    <row r="184" spans="1:5" x14ac:dyDescent="0.4">
      <c r="A184" s="3" t="s">
        <v>21</v>
      </c>
      <c r="B184" s="6">
        <f>'DAY1'!$I111</f>
        <v>52160</v>
      </c>
      <c r="D184" s="3" t="s">
        <v>21</v>
      </c>
      <c r="E184" s="13">
        <f>'DAY1'!$H111</f>
        <v>-18</v>
      </c>
    </row>
    <row r="185" spans="1:5" x14ac:dyDescent="0.4">
      <c r="A185" s="3" t="s">
        <v>22</v>
      </c>
      <c r="B185" s="6">
        <f>'DAY1'!$I112</f>
        <v>18702</v>
      </c>
      <c r="D185" s="3" t="s">
        <v>22</v>
      </c>
      <c r="E185" s="13">
        <f>'DAY1'!$H112</f>
        <v>-7</v>
      </c>
    </row>
    <row r="186" spans="1:5" x14ac:dyDescent="0.4">
      <c r="A186" s="4" t="s">
        <v>23</v>
      </c>
      <c r="B186" s="7">
        <f>'DAY1'!$I113</f>
        <v>889915</v>
      </c>
      <c r="D186" s="4" t="s">
        <v>23</v>
      </c>
      <c r="E186" s="14">
        <f>'DAY1'!$H113</f>
        <v>-151</v>
      </c>
    </row>
    <row r="187" spans="1:5" ht="17.5" thickBot="1" x14ac:dyDescent="0.45">
      <c r="A187" s="24" t="s">
        <v>24</v>
      </c>
      <c r="B187" s="23">
        <f>'DAY1'!$I114</f>
        <v>1805983</v>
      </c>
      <c r="D187" s="5" t="s">
        <v>24</v>
      </c>
      <c r="E187" s="15">
        <f>'DAY1'!$H114</f>
        <v>-239</v>
      </c>
    </row>
    <row r="188" spans="1:5" s="34" customFormat="1" x14ac:dyDescent="0.4">
      <c r="A188" s="32"/>
      <c r="B188" s="33"/>
      <c r="C188" s="32"/>
      <c r="D188" s="32"/>
      <c r="E188" s="32"/>
    </row>
    <row r="190" spans="1:5" x14ac:dyDescent="0.4">
      <c r="A190" s="2" t="s">
        <v>36</v>
      </c>
      <c r="B190" s="25">
        <f>B1</f>
        <v>45986</v>
      </c>
    </row>
    <row r="191" spans="1:5" x14ac:dyDescent="0.4">
      <c r="A191" s="3" t="s">
        <v>1</v>
      </c>
      <c r="B191" s="6">
        <f>'DAY1'!$D91</f>
        <v>12</v>
      </c>
    </row>
    <row r="192" spans="1:5" x14ac:dyDescent="0.4">
      <c r="A192" s="3" t="s">
        <v>2</v>
      </c>
      <c r="B192" s="6">
        <f>'DAY1'!$D92</f>
        <v>14</v>
      </c>
    </row>
    <row r="193" spans="1:2" x14ac:dyDescent="0.4">
      <c r="A193" s="3" t="s">
        <v>3</v>
      </c>
      <c r="B193" s="6">
        <f>'DAY1'!$D93</f>
        <v>7</v>
      </c>
    </row>
    <row r="194" spans="1:2" x14ac:dyDescent="0.4">
      <c r="A194" s="3" t="s">
        <v>4</v>
      </c>
      <c r="B194" s="6">
        <f>'DAY1'!$D94</f>
        <v>15</v>
      </c>
    </row>
    <row r="195" spans="1:2" x14ac:dyDescent="0.4">
      <c r="A195" s="3" t="s">
        <v>5</v>
      </c>
      <c r="B195" s="6">
        <f>'DAY1'!$D95</f>
        <v>27</v>
      </c>
    </row>
    <row r="196" spans="1:2" x14ac:dyDescent="0.4">
      <c r="A196" s="3" t="s">
        <v>6</v>
      </c>
      <c r="B196" s="6">
        <f>'DAY1'!$D96</f>
        <v>21</v>
      </c>
    </row>
    <row r="197" spans="1:2" x14ac:dyDescent="0.4">
      <c r="A197" s="3" t="s">
        <v>7</v>
      </c>
      <c r="B197" s="6">
        <f>'DAY1'!$D97</f>
        <v>5</v>
      </c>
    </row>
    <row r="198" spans="1:2" x14ac:dyDescent="0.4">
      <c r="A198" s="3" t="s">
        <v>8</v>
      </c>
      <c r="B198" s="6">
        <f>'DAY1'!$D98</f>
        <v>53</v>
      </c>
    </row>
    <row r="199" spans="1:2" x14ac:dyDescent="0.4">
      <c r="A199" s="3" t="s">
        <v>9</v>
      </c>
      <c r="B199" s="6">
        <f>'DAY1'!$D99</f>
        <v>17</v>
      </c>
    </row>
    <row r="200" spans="1:2" x14ac:dyDescent="0.4">
      <c r="A200" s="3" t="s">
        <v>10</v>
      </c>
      <c r="B200" s="6">
        <f>'DAY1'!$D100</f>
        <v>5</v>
      </c>
    </row>
    <row r="201" spans="1:2" x14ac:dyDescent="0.4">
      <c r="A201" s="3" t="s">
        <v>11</v>
      </c>
      <c r="B201" s="6">
        <f>'DAY1'!$D101</f>
        <v>10</v>
      </c>
    </row>
    <row r="202" spans="1:2" x14ac:dyDescent="0.4">
      <c r="A202" s="3" t="s">
        <v>12</v>
      </c>
      <c r="B202" s="6">
        <f>'DAY1'!$D102</f>
        <v>7</v>
      </c>
    </row>
    <row r="203" spans="1:2" x14ac:dyDescent="0.4">
      <c r="A203" s="4" t="s">
        <v>13</v>
      </c>
      <c r="B203" s="7">
        <f>'DAY1'!$D103</f>
        <v>193</v>
      </c>
    </row>
    <row r="204" spans="1:2" x14ac:dyDescent="0.4">
      <c r="A204" s="3" t="s">
        <v>14</v>
      </c>
      <c r="B204" s="6">
        <f>'DAY1'!$D104</f>
        <v>41</v>
      </c>
    </row>
    <row r="205" spans="1:2" x14ac:dyDescent="0.4">
      <c r="A205" s="3" t="s">
        <v>15</v>
      </c>
      <c r="B205" s="6">
        <f>'DAY1'!$D105</f>
        <v>16</v>
      </c>
    </row>
    <row r="206" spans="1:2" x14ac:dyDescent="0.4">
      <c r="A206" s="3" t="s">
        <v>16</v>
      </c>
      <c r="B206" s="6">
        <f>'DAY1'!$D106</f>
        <v>9</v>
      </c>
    </row>
    <row r="207" spans="1:2" x14ac:dyDescent="0.4">
      <c r="A207" s="3" t="s">
        <v>17</v>
      </c>
      <c r="B207" s="6">
        <f>'DAY1'!$D107</f>
        <v>18</v>
      </c>
    </row>
    <row r="208" spans="1:2" x14ac:dyDescent="0.4">
      <c r="A208" s="3" t="s">
        <v>18</v>
      </c>
      <c r="B208" s="6">
        <f>'DAY1'!$D108</f>
        <v>20</v>
      </c>
    </row>
    <row r="209" spans="1:2" x14ac:dyDescent="0.4">
      <c r="A209" s="3" t="s">
        <v>19</v>
      </c>
      <c r="B209" s="6">
        <f>'DAY1'!$D109</f>
        <v>40</v>
      </c>
    </row>
    <row r="210" spans="1:2" x14ac:dyDescent="0.4">
      <c r="A210" s="3" t="s">
        <v>20</v>
      </c>
      <c r="B210" s="6">
        <f>'DAY1'!$D110</f>
        <v>42</v>
      </c>
    </row>
    <row r="211" spans="1:2" x14ac:dyDescent="0.4">
      <c r="A211" s="3" t="s">
        <v>21</v>
      </c>
      <c r="B211" s="6">
        <f>'DAY1'!$D111</f>
        <v>7</v>
      </c>
    </row>
    <row r="212" spans="1:2" x14ac:dyDescent="0.4">
      <c r="A212" s="3" t="s">
        <v>22</v>
      </c>
      <c r="B212" s="6">
        <f>'DAY1'!$D112</f>
        <v>6</v>
      </c>
    </row>
    <row r="213" spans="1:2" x14ac:dyDescent="0.4">
      <c r="A213" s="4" t="s">
        <v>23</v>
      </c>
      <c r="B213" s="7">
        <f>'DAY1'!$D113</f>
        <v>199</v>
      </c>
    </row>
    <row r="214" spans="1:2" x14ac:dyDescent="0.4">
      <c r="A214" s="5" t="s">
        <v>24</v>
      </c>
      <c r="B214" s="8">
        <f>'DAY1'!$D114</f>
        <v>392</v>
      </c>
    </row>
    <row r="217" spans="1:2" x14ac:dyDescent="0.4">
      <c r="A217" s="9" t="s">
        <v>37</v>
      </c>
      <c r="B217" s="25">
        <f>B1</f>
        <v>45986</v>
      </c>
    </row>
    <row r="218" spans="1:2" x14ac:dyDescent="0.4">
      <c r="A218" s="10" t="s">
        <v>1</v>
      </c>
      <c r="B218" s="6">
        <f>'DAY1'!$E91</f>
        <v>17</v>
      </c>
    </row>
    <row r="219" spans="1:2" x14ac:dyDescent="0.4">
      <c r="A219" s="10" t="s">
        <v>2</v>
      </c>
      <c r="B219" s="6">
        <f>'DAY1'!$E92</f>
        <v>6</v>
      </c>
    </row>
    <row r="220" spans="1:2" x14ac:dyDescent="0.4">
      <c r="A220" s="10" t="s">
        <v>3</v>
      </c>
      <c r="B220" s="6">
        <f>'DAY1'!$E93</f>
        <v>14</v>
      </c>
    </row>
    <row r="221" spans="1:2" x14ac:dyDescent="0.4">
      <c r="A221" s="10" t="s">
        <v>4</v>
      </c>
      <c r="B221" s="6">
        <f>'DAY1'!$E94</f>
        <v>14</v>
      </c>
    </row>
    <row r="222" spans="1:2" x14ac:dyDescent="0.4">
      <c r="A222" s="10" t="s">
        <v>5</v>
      </c>
      <c r="B222" s="6">
        <f>'DAY1'!$E95</f>
        <v>24</v>
      </c>
    </row>
    <row r="223" spans="1:2" x14ac:dyDescent="0.4">
      <c r="A223" s="10" t="s">
        <v>6</v>
      </c>
      <c r="B223" s="6">
        <f>'DAY1'!$E96</f>
        <v>22</v>
      </c>
    </row>
    <row r="224" spans="1:2" x14ac:dyDescent="0.4">
      <c r="A224" s="10" t="s">
        <v>7</v>
      </c>
      <c r="B224" s="6">
        <f>'DAY1'!$E97</f>
        <v>10</v>
      </c>
    </row>
    <row r="225" spans="1:2" x14ac:dyDescent="0.4">
      <c r="A225" s="10" t="s">
        <v>8</v>
      </c>
      <c r="B225" s="6">
        <f>'DAY1'!$E98</f>
        <v>26</v>
      </c>
    </row>
    <row r="226" spans="1:2" x14ac:dyDescent="0.4">
      <c r="A226" s="10" t="s">
        <v>9</v>
      </c>
      <c r="B226" s="6">
        <f>'DAY1'!$E99</f>
        <v>21</v>
      </c>
    </row>
    <row r="227" spans="1:2" x14ac:dyDescent="0.4">
      <c r="A227" s="10" t="s">
        <v>10</v>
      </c>
      <c r="B227" s="6">
        <f>'DAY1'!$E100</f>
        <v>5</v>
      </c>
    </row>
    <row r="228" spans="1:2" x14ac:dyDescent="0.4">
      <c r="A228" s="10" t="s">
        <v>11</v>
      </c>
      <c r="B228" s="6">
        <f>'DAY1'!$E101</f>
        <v>10</v>
      </c>
    </row>
    <row r="229" spans="1:2" x14ac:dyDescent="0.4">
      <c r="A229" s="10" t="s">
        <v>12</v>
      </c>
      <c r="B229" s="6">
        <f>'DAY1'!$E102</f>
        <v>9</v>
      </c>
    </row>
    <row r="230" spans="1:2" x14ac:dyDescent="0.4">
      <c r="A230" s="11" t="s">
        <v>13</v>
      </c>
      <c r="B230" s="7">
        <f>'DAY1'!$E103</f>
        <v>178</v>
      </c>
    </row>
    <row r="231" spans="1:2" x14ac:dyDescent="0.4">
      <c r="A231" s="10" t="s">
        <v>14</v>
      </c>
      <c r="B231" s="6">
        <f>'DAY1'!$E104</f>
        <v>37</v>
      </c>
    </row>
    <row r="232" spans="1:2" x14ac:dyDescent="0.4">
      <c r="A232" s="10" t="s">
        <v>15</v>
      </c>
      <c r="B232" s="6">
        <f>'DAY1'!$E105</f>
        <v>14</v>
      </c>
    </row>
    <row r="233" spans="1:2" x14ac:dyDescent="0.4">
      <c r="A233" s="10" t="s">
        <v>16</v>
      </c>
      <c r="B233" s="6">
        <f>'DAY1'!$E106</f>
        <v>13</v>
      </c>
    </row>
    <row r="234" spans="1:2" x14ac:dyDescent="0.4">
      <c r="A234" s="10" t="s">
        <v>17</v>
      </c>
      <c r="B234" s="6">
        <f>'DAY1'!$E107</f>
        <v>10</v>
      </c>
    </row>
    <row r="235" spans="1:2" x14ac:dyDescent="0.4">
      <c r="A235" s="10" t="s">
        <v>18</v>
      </c>
      <c r="B235" s="6">
        <f>'DAY1'!$E108</f>
        <v>11</v>
      </c>
    </row>
    <row r="236" spans="1:2" x14ac:dyDescent="0.4">
      <c r="A236" s="10" t="s">
        <v>19</v>
      </c>
      <c r="B236" s="6">
        <f>'DAY1'!$E109</f>
        <v>21</v>
      </c>
    </row>
    <row r="237" spans="1:2" x14ac:dyDescent="0.4">
      <c r="A237" s="10" t="s">
        <v>20</v>
      </c>
      <c r="B237" s="6">
        <f>'DAY1'!$E110</f>
        <v>29</v>
      </c>
    </row>
    <row r="238" spans="1:2" x14ac:dyDescent="0.4">
      <c r="A238" s="10" t="s">
        <v>21</v>
      </c>
      <c r="B238" s="6">
        <f>'DAY1'!$E111</f>
        <v>2</v>
      </c>
    </row>
    <row r="239" spans="1:2" x14ac:dyDescent="0.4">
      <c r="A239" s="10" t="s">
        <v>22</v>
      </c>
      <c r="B239" s="6">
        <f>'DAY1'!$E112</f>
        <v>0</v>
      </c>
    </row>
    <row r="240" spans="1:2" x14ac:dyDescent="0.4">
      <c r="A240" s="11" t="s">
        <v>23</v>
      </c>
      <c r="B240" s="7">
        <f>'DAY1'!$E113</f>
        <v>137</v>
      </c>
    </row>
    <row r="241" spans="1:5" x14ac:dyDescent="0.4">
      <c r="A241" s="12" t="s">
        <v>24</v>
      </c>
      <c r="B241" s="8">
        <f>'DAY1'!$E114</f>
        <v>315</v>
      </c>
    </row>
    <row r="242" spans="1:5" s="21" customFormat="1" x14ac:dyDescent="0.4">
      <c r="A242" s="22"/>
      <c r="B242" s="20"/>
      <c r="C242" s="19"/>
      <c r="D242" s="19"/>
      <c r="E242" s="19"/>
    </row>
    <row r="244" spans="1:5" x14ac:dyDescent="0.4">
      <c r="A244" s="2" t="s">
        <v>41</v>
      </c>
      <c r="B244" s="25">
        <f>B28</f>
        <v>45986</v>
      </c>
    </row>
    <row r="245" spans="1:5" x14ac:dyDescent="0.4">
      <c r="A245" s="3" t="s">
        <v>1</v>
      </c>
      <c r="B245" s="6">
        <f>'DAY1'!K91</f>
        <v>19</v>
      </c>
    </row>
    <row r="246" spans="1:5" x14ac:dyDescent="0.4">
      <c r="A246" s="3" t="s">
        <v>2</v>
      </c>
      <c r="B246" s="6">
        <f>'DAY1'!K92</f>
        <v>14</v>
      </c>
    </row>
    <row r="247" spans="1:5" x14ac:dyDescent="0.4">
      <c r="A247" s="3" t="s">
        <v>3</v>
      </c>
      <c r="B247" s="6">
        <f>'DAY1'!K93</f>
        <v>18</v>
      </c>
    </row>
    <row r="248" spans="1:5" x14ac:dyDescent="0.4">
      <c r="A248" s="3" t="s">
        <v>4</v>
      </c>
      <c r="B248" s="6">
        <f>'DAY1'!K94</f>
        <v>11</v>
      </c>
    </row>
    <row r="249" spans="1:5" x14ac:dyDescent="0.4">
      <c r="A249" s="3" t="s">
        <v>5</v>
      </c>
      <c r="B249" s="6">
        <f>'DAY1'!K95</f>
        <v>41</v>
      </c>
    </row>
    <row r="250" spans="1:5" x14ac:dyDescent="0.4">
      <c r="A250" s="3" t="s">
        <v>6</v>
      </c>
      <c r="B250" s="6">
        <f>'DAY1'!K96</f>
        <v>31</v>
      </c>
    </row>
    <row r="251" spans="1:5" x14ac:dyDescent="0.4">
      <c r="A251" s="3" t="s">
        <v>7</v>
      </c>
      <c r="B251" s="6">
        <f>'DAY1'!K97</f>
        <v>16</v>
      </c>
    </row>
    <row r="252" spans="1:5" x14ac:dyDescent="0.4">
      <c r="A252" s="3" t="s">
        <v>8</v>
      </c>
      <c r="B252" s="6">
        <f>'DAY1'!K98</f>
        <v>78</v>
      </c>
    </row>
    <row r="253" spans="1:5" x14ac:dyDescent="0.4">
      <c r="A253" s="3" t="s">
        <v>9</v>
      </c>
      <c r="B253" s="6">
        <f>'DAY1'!K99</f>
        <v>24</v>
      </c>
    </row>
    <row r="254" spans="1:5" x14ac:dyDescent="0.4">
      <c r="A254" s="3" t="s">
        <v>10</v>
      </c>
      <c r="B254" s="6">
        <f>'DAY1'!K100</f>
        <v>12</v>
      </c>
    </row>
    <row r="255" spans="1:5" x14ac:dyDescent="0.4">
      <c r="A255" s="3" t="s">
        <v>11</v>
      </c>
      <c r="B255" s="6">
        <f>'DAY1'!K101</f>
        <v>6</v>
      </c>
    </row>
    <row r="256" spans="1:5" x14ac:dyDescent="0.4">
      <c r="A256" s="3" t="s">
        <v>12</v>
      </c>
      <c r="B256" s="6">
        <f>'DAY1'!K102</f>
        <v>5</v>
      </c>
    </row>
    <row r="257" spans="1:5" x14ac:dyDescent="0.4">
      <c r="A257" s="4" t="s">
        <v>25</v>
      </c>
      <c r="B257" s="7">
        <f>'DAY1'!K103</f>
        <v>275</v>
      </c>
    </row>
    <row r="258" spans="1:5" x14ac:dyDescent="0.4">
      <c r="A258" s="3" t="s">
        <v>14</v>
      </c>
      <c r="B258" s="6">
        <f>'DAY1'!K104</f>
        <v>39</v>
      </c>
    </row>
    <row r="259" spans="1:5" x14ac:dyDescent="0.4">
      <c r="A259" s="3" t="s">
        <v>15</v>
      </c>
      <c r="B259" s="6">
        <f>'DAY1'!K105</f>
        <v>22</v>
      </c>
    </row>
    <row r="260" spans="1:5" x14ac:dyDescent="0.4">
      <c r="A260" s="3" t="s">
        <v>16</v>
      </c>
      <c r="B260" s="6">
        <f>'DAY1'!K106</f>
        <v>11</v>
      </c>
    </row>
    <row r="261" spans="1:5" x14ac:dyDescent="0.4">
      <c r="A261" s="3" t="s">
        <v>17</v>
      </c>
      <c r="B261" s="6">
        <f>'DAY1'!K107</f>
        <v>12</v>
      </c>
    </row>
    <row r="262" spans="1:5" x14ac:dyDescent="0.4">
      <c r="A262" s="3" t="s">
        <v>18</v>
      </c>
      <c r="B262" s="6">
        <f>'DAY1'!K108</f>
        <v>11</v>
      </c>
    </row>
    <row r="263" spans="1:5" x14ac:dyDescent="0.4">
      <c r="A263" s="3" t="s">
        <v>19</v>
      </c>
      <c r="B263" s="6">
        <f>'DAY1'!K109</f>
        <v>41</v>
      </c>
    </row>
    <row r="264" spans="1:5" x14ac:dyDescent="0.4">
      <c r="A264" s="3" t="s">
        <v>20</v>
      </c>
      <c r="B264" s="6">
        <f>'DAY1'!K110</f>
        <v>46</v>
      </c>
    </row>
    <row r="265" spans="1:5" x14ac:dyDescent="0.4">
      <c r="A265" s="3" t="s">
        <v>21</v>
      </c>
      <c r="B265" s="6">
        <f>'DAY1'!K111</f>
        <v>23</v>
      </c>
    </row>
    <row r="266" spans="1:5" x14ac:dyDescent="0.4">
      <c r="A266" s="3" t="s">
        <v>22</v>
      </c>
      <c r="B266" s="6">
        <f>'DAY1'!K112</f>
        <v>10</v>
      </c>
    </row>
    <row r="267" spans="1:5" x14ac:dyDescent="0.4">
      <c r="A267" s="4" t="s">
        <v>23</v>
      </c>
      <c r="B267" s="7">
        <f>'DAY1'!K113</f>
        <v>215</v>
      </c>
    </row>
    <row r="268" spans="1:5" x14ac:dyDescent="0.4">
      <c r="A268" s="5" t="s">
        <v>26</v>
      </c>
      <c r="B268" s="8">
        <f>'DAY1'!K114</f>
        <v>490</v>
      </c>
    </row>
    <row r="269" spans="1:5" s="21" customFormat="1" x14ac:dyDescent="0.4">
      <c r="A269" s="19"/>
      <c r="B269" s="20"/>
      <c r="C269" s="19"/>
      <c r="D269" s="19"/>
      <c r="E269" s="19"/>
    </row>
    <row r="271" spans="1:5" x14ac:dyDescent="0.4">
      <c r="A271" s="2" t="s">
        <v>38</v>
      </c>
      <c r="B271" s="25">
        <f>B1</f>
        <v>45986</v>
      </c>
    </row>
    <row r="272" spans="1:5" x14ac:dyDescent="0.4">
      <c r="A272" s="3" t="s">
        <v>1</v>
      </c>
      <c r="B272" s="6">
        <f>'DAY1'!$G91</f>
        <v>28</v>
      </c>
    </row>
    <row r="273" spans="1:2" x14ac:dyDescent="0.4">
      <c r="A273" s="3" t="s">
        <v>2</v>
      </c>
      <c r="B273" s="6">
        <f>'DAY1'!$G92</f>
        <v>10</v>
      </c>
    </row>
    <row r="274" spans="1:2" x14ac:dyDescent="0.4">
      <c r="A274" s="3" t="s">
        <v>3</v>
      </c>
      <c r="B274" s="6">
        <f>'DAY1'!$G93</f>
        <v>11</v>
      </c>
    </row>
    <row r="275" spans="1:2" x14ac:dyDescent="0.4">
      <c r="A275" s="3" t="s">
        <v>4</v>
      </c>
      <c r="B275" s="6">
        <f>'DAY1'!$G94</f>
        <v>16</v>
      </c>
    </row>
    <row r="276" spans="1:2" x14ac:dyDescent="0.4">
      <c r="A276" s="3" t="s">
        <v>5</v>
      </c>
      <c r="B276" s="6">
        <f>'DAY1'!$G95</f>
        <v>35</v>
      </c>
    </row>
    <row r="277" spans="1:2" x14ac:dyDescent="0.4">
      <c r="A277" s="3" t="s">
        <v>6</v>
      </c>
      <c r="B277" s="6">
        <f>'DAY1'!$G96</f>
        <v>11</v>
      </c>
    </row>
    <row r="278" spans="1:2" x14ac:dyDescent="0.4">
      <c r="A278" s="3" t="s">
        <v>7</v>
      </c>
      <c r="B278" s="6">
        <f>'DAY1'!$G97</f>
        <v>28</v>
      </c>
    </row>
    <row r="279" spans="1:2" x14ac:dyDescent="0.4">
      <c r="A279" s="3" t="s">
        <v>8</v>
      </c>
      <c r="B279" s="6">
        <f>'DAY1'!$G98</f>
        <v>50</v>
      </c>
    </row>
    <row r="280" spans="1:2" x14ac:dyDescent="0.4">
      <c r="A280" s="3" t="s">
        <v>9</v>
      </c>
      <c r="B280" s="6">
        <f>'DAY1'!$G99</f>
        <v>15</v>
      </c>
    </row>
    <row r="281" spans="1:2" x14ac:dyDescent="0.4">
      <c r="A281" s="3" t="s">
        <v>10</v>
      </c>
      <c r="B281" s="6">
        <f>'DAY1'!$G100</f>
        <v>22</v>
      </c>
    </row>
    <row r="282" spans="1:2" x14ac:dyDescent="0.4">
      <c r="A282" s="3" t="s">
        <v>11</v>
      </c>
      <c r="B282" s="6">
        <f>'DAY1'!$G101</f>
        <v>19</v>
      </c>
    </row>
    <row r="283" spans="1:2" x14ac:dyDescent="0.4">
      <c r="A283" s="3" t="s">
        <v>12</v>
      </c>
      <c r="B283" s="6">
        <f>'DAY1'!$G102</f>
        <v>6</v>
      </c>
    </row>
    <row r="284" spans="1:2" x14ac:dyDescent="0.4">
      <c r="A284" s="4" t="s">
        <v>25</v>
      </c>
      <c r="B284" s="7">
        <f>'DAY1'!$G103</f>
        <v>251</v>
      </c>
    </row>
    <row r="285" spans="1:2" x14ac:dyDescent="0.4">
      <c r="A285" s="3" t="s">
        <v>14</v>
      </c>
      <c r="B285" s="6">
        <f>'DAY1'!$G104</f>
        <v>65</v>
      </c>
    </row>
    <row r="286" spans="1:2" x14ac:dyDescent="0.4">
      <c r="A286" s="3" t="s">
        <v>15</v>
      </c>
      <c r="B286" s="6">
        <f>'DAY1'!$G105</f>
        <v>17</v>
      </c>
    </row>
    <row r="287" spans="1:2" x14ac:dyDescent="0.4">
      <c r="A287" s="3" t="s">
        <v>16</v>
      </c>
      <c r="B287" s="6">
        <f>'DAY1'!$G106</f>
        <v>8</v>
      </c>
    </row>
    <row r="288" spans="1:2" x14ac:dyDescent="0.4">
      <c r="A288" s="3" t="s">
        <v>17</v>
      </c>
      <c r="B288" s="6">
        <f>'DAY1'!$G107</f>
        <v>11</v>
      </c>
    </row>
    <row r="289" spans="1:2" x14ac:dyDescent="0.4">
      <c r="A289" s="3" t="s">
        <v>18</v>
      </c>
      <c r="B289" s="6">
        <f>'DAY1'!$G108</f>
        <v>16</v>
      </c>
    </row>
    <row r="290" spans="1:2" x14ac:dyDescent="0.4">
      <c r="A290" s="3" t="s">
        <v>19</v>
      </c>
      <c r="B290" s="6">
        <f>'DAY1'!$G109</f>
        <v>56</v>
      </c>
    </row>
    <row r="291" spans="1:2" x14ac:dyDescent="0.4">
      <c r="A291" s="3" t="s">
        <v>20</v>
      </c>
      <c r="B291" s="6">
        <f>'DAY1'!$G110</f>
        <v>81</v>
      </c>
    </row>
    <row r="292" spans="1:2" x14ac:dyDescent="0.4">
      <c r="A292" s="3" t="s">
        <v>21</v>
      </c>
      <c r="B292" s="6">
        <f>'DAY1'!$G111</f>
        <v>21</v>
      </c>
    </row>
    <row r="293" spans="1:2" x14ac:dyDescent="0.4">
      <c r="A293" s="3" t="s">
        <v>22</v>
      </c>
      <c r="B293" s="6">
        <f>'DAY1'!$G112</f>
        <v>7</v>
      </c>
    </row>
    <row r="294" spans="1:2" x14ac:dyDescent="0.4">
      <c r="A294" s="4" t="s">
        <v>23</v>
      </c>
      <c r="B294" s="7">
        <f>'DAY1'!$G113</f>
        <v>282</v>
      </c>
    </row>
    <row r="295" spans="1:2" x14ac:dyDescent="0.4">
      <c r="A295" s="5" t="s">
        <v>26</v>
      </c>
      <c r="B295" s="8">
        <f>'DAY1'!$G114</f>
        <v>533</v>
      </c>
    </row>
    <row r="298" spans="1:2" x14ac:dyDescent="0.4">
      <c r="A298" s="2" t="s">
        <v>39</v>
      </c>
      <c r="B298" s="25">
        <f>B1</f>
        <v>45986</v>
      </c>
    </row>
    <row r="299" spans="1:2" x14ac:dyDescent="0.4">
      <c r="A299" s="3" t="s">
        <v>1</v>
      </c>
      <c r="B299" s="6">
        <f>'DAY1'!$F91</f>
        <v>2</v>
      </c>
    </row>
    <row r="300" spans="1:2" x14ac:dyDescent="0.4">
      <c r="A300" s="3" t="s">
        <v>2</v>
      </c>
      <c r="B300" s="6">
        <f>'DAY1'!$F92</f>
        <v>0</v>
      </c>
    </row>
    <row r="301" spans="1:2" x14ac:dyDescent="0.4">
      <c r="A301" s="3" t="s">
        <v>3</v>
      </c>
      <c r="B301" s="6">
        <f>'DAY1'!$F93</f>
        <v>2</v>
      </c>
    </row>
    <row r="302" spans="1:2" x14ac:dyDescent="0.4">
      <c r="A302" s="3" t="s">
        <v>4</v>
      </c>
      <c r="B302" s="6">
        <f>'DAY1'!$F94</f>
        <v>1</v>
      </c>
    </row>
    <row r="303" spans="1:2" x14ac:dyDescent="0.4">
      <c r="A303" s="3" t="s">
        <v>5</v>
      </c>
      <c r="B303" s="6">
        <f>'DAY1'!$F95</f>
        <v>7</v>
      </c>
    </row>
    <row r="304" spans="1:2" x14ac:dyDescent="0.4">
      <c r="A304" s="3" t="s">
        <v>6</v>
      </c>
      <c r="B304" s="6">
        <f>'DAY1'!$F96</f>
        <v>7</v>
      </c>
    </row>
    <row r="305" spans="1:2" x14ac:dyDescent="0.4">
      <c r="A305" s="3" t="s">
        <v>7</v>
      </c>
      <c r="B305" s="6">
        <f>'DAY1'!$F97</f>
        <v>3</v>
      </c>
    </row>
    <row r="306" spans="1:2" x14ac:dyDescent="0.4">
      <c r="A306" s="3" t="s">
        <v>8</v>
      </c>
      <c r="B306" s="6">
        <f>'DAY1'!$F98</f>
        <v>7</v>
      </c>
    </row>
    <row r="307" spans="1:2" x14ac:dyDescent="0.4">
      <c r="A307" s="3" t="s">
        <v>9</v>
      </c>
      <c r="B307" s="6">
        <f>'DAY1'!$F99</f>
        <v>0</v>
      </c>
    </row>
    <row r="308" spans="1:2" x14ac:dyDescent="0.4">
      <c r="A308" s="3" t="s">
        <v>10</v>
      </c>
      <c r="B308" s="6">
        <f>'DAY1'!$F100</f>
        <v>1</v>
      </c>
    </row>
    <row r="309" spans="1:2" x14ac:dyDescent="0.4">
      <c r="A309" s="3" t="s">
        <v>11</v>
      </c>
      <c r="B309" s="6">
        <f>'DAY1'!$F101</f>
        <v>1</v>
      </c>
    </row>
    <row r="310" spans="1:2" x14ac:dyDescent="0.4">
      <c r="A310" s="3" t="s">
        <v>12</v>
      </c>
      <c r="B310" s="6">
        <f>'DAY1'!$F102</f>
        <v>0</v>
      </c>
    </row>
    <row r="311" spans="1:2" x14ac:dyDescent="0.4">
      <c r="A311" s="4" t="s">
        <v>13</v>
      </c>
      <c r="B311" s="7">
        <f>'DAY1'!$F103</f>
        <v>31</v>
      </c>
    </row>
    <row r="312" spans="1:2" x14ac:dyDescent="0.4">
      <c r="A312" s="3" t="s">
        <v>14</v>
      </c>
      <c r="B312" s="6">
        <f>'DAY1'!$F104</f>
        <v>1</v>
      </c>
    </row>
    <row r="313" spans="1:2" x14ac:dyDescent="0.4">
      <c r="A313" s="3" t="s">
        <v>15</v>
      </c>
      <c r="B313" s="6">
        <f>'DAY1'!$F105</f>
        <v>2</v>
      </c>
    </row>
    <row r="314" spans="1:2" x14ac:dyDescent="0.4">
      <c r="A314" s="3" t="s">
        <v>16</v>
      </c>
      <c r="B314" s="6">
        <f>'DAY1'!$F106</f>
        <v>1</v>
      </c>
    </row>
    <row r="315" spans="1:2" x14ac:dyDescent="0.4">
      <c r="A315" s="3" t="s">
        <v>17</v>
      </c>
      <c r="B315" s="6">
        <f>'DAY1'!$F107</f>
        <v>3</v>
      </c>
    </row>
    <row r="316" spans="1:2" x14ac:dyDescent="0.4">
      <c r="A316" s="3" t="s">
        <v>18</v>
      </c>
      <c r="B316" s="6">
        <f>'DAY1'!$F108</f>
        <v>2</v>
      </c>
    </row>
    <row r="317" spans="1:2" x14ac:dyDescent="0.4">
      <c r="A317" s="3" t="s">
        <v>19</v>
      </c>
      <c r="B317" s="6">
        <f>'DAY1'!$F109</f>
        <v>3</v>
      </c>
    </row>
    <row r="318" spans="1:2" x14ac:dyDescent="0.4">
      <c r="A318" s="3" t="s">
        <v>20</v>
      </c>
      <c r="B318" s="6">
        <f>'DAY1'!$F110</f>
        <v>0</v>
      </c>
    </row>
    <row r="319" spans="1:2" x14ac:dyDescent="0.4">
      <c r="A319" s="3" t="s">
        <v>21</v>
      </c>
      <c r="B319" s="6">
        <f>'DAY1'!$F111</f>
        <v>0</v>
      </c>
    </row>
    <row r="320" spans="1:2" x14ac:dyDescent="0.4">
      <c r="A320" s="3" t="s">
        <v>22</v>
      </c>
      <c r="B320" s="6">
        <f>'DAY1'!$F112</f>
        <v>0</v>
      </c>
    </row>
    <row r="321" spans="1:2" x14ac:dyDescent="0.4">
      <c r="A321" s="4" t="s">
        <v>23</v>
      </c>
      <c r="B321" s="7">
        <f>'DAY1'!$F113</f>
        <v>12</v>
      </c>
    </row>
    <row r="322" spans="1:2" x14ac:dyDescent="0.4">
      <c r="A322" s="5" t="s">
        <v>24</v>
      </c>
      <c r="B322" s="8">
        <f>'DAY1'!$F114</f>
        <v>43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2"/>
  <sheetViews>
    <sheetView zoomScaleNormal="100" workbookViewId="0">
      <selection activeCell="B2" sqref="B2"/>
    </sheetView>
  </sheetViews>
  <sheetFormatPr defaultRowHeight="17" x14ac:dyDescent="0.4"/>
  <cols>
    <col min="1" max="1" width="17.08984375" style="3" customWidth="1"/>
    <col min="2" max="2" width="10.90625" style="6" customWidth="1"/>
  </cols>
  <sheetData>
    <row r="1" spans="1:2" x14ac:dyDescent="0.4">
      <c r="A1" s="2" t="s">
        <v>0</v>
      </c>
      <c r="B1" s="25">
        <f>日統計模板!B1</f>
        <v>45986</v>
      </c>
    </row>
    <row r="2" spans="1:2" x14ac:dyDescent="0.4">
      <c r="A2" s="3" t="s">
        <v>1</v>
      </c>
      <c r="B2" s="6">
        <f>'DAY1'!$H64</f>
        <v>8058</v>
      </c>
    </row>
    <row r="3" spans="1:2" x14ac:dyDescent="0.4">
      <c r="A3" s="3" t="s">
        <v>2</v>
      </c>
      <c r="B3" s="6">
        <f>'DAY1'!$H65</f>
        <v>2745</v>
      </c>
    </row>
    <row r="4" spans="1:2" x14ac:dyDescent="0.4">
      <c r="A4" s="3" t="s">
        <v>3</v>
      </c>
      <c r="B4" s="6">
        <f>'DAY1'!$H66</f>
        <v>3685</v>
      </c>
    </row>
    <row r="5" spans="1:2" x14ac:dyDescent="0.4">
      <c r="A5" s="3" t="s">
        <v>4</v>
      </c>
      <c r="B5" s="6">
        <f>'DAY1'!$H67</f>
        <v>4909</v>
      </c>
    </row>
    <row r="6" spans="1:2" x14ac:dyDescent="0.4">
      <c r="A6" s="3" t="s">
        <v>5</v>
      </c>
      <c r="B6" s="6">
        <f>'DAY1'!$H68</f>
        <v>12699</v>
      </c>
    </row>
    <row r="7" spans="1:2" x14ac:dyDescent="0.4">
      <c r="A7" s="3" t="s">
        <v>6</v>
      </c>
      <c r="B7" s="6">
        <f>'DAY1'!$H69</f>
        <v>7132</v>
      </c>
    </row>
    <row r="8" spans="1:2" x14ac:dyDescent="0.4">
      <c r="A8" s="3" t="s">
        <v>7</v>
      </c>
      <c r="B8" s="6">
        <f>'DAY1'!$H70</f>
        <v>8353</v>
      </c>
    </row>
    <row r="9" spans="1:2" x14ac:dyDescent="0.4">
      <c r="A9" s="3" t="s">
        <v>8</v>
      </c>
      <c r="B9" s="6">
        <f>'DAY1'!$H71</f>
        <v>21524</v>
      </c>
    </row>
    <row r="10" spans="1:2" x14ac:dyDescent="0.4">
      <c r="A10" s="3" t="s">
        <v>9</v>
      </c>
      <c r="B10" s="6">
        <f>'DAY1'!$H72</f>
        <v>15044</v>
      </c>
    </row>
    <row r="11" spans="1:2" x14ac:dyDescent="0.4">
      <c r="A11" s="3" t="s">
        <v>10</v>
      </c>
      <c r="B11" s="6">
        <f>'DAY1'!$H73</f>
        <v>7466</v>
      </c>
    </row>
    <row r="12" spans="1:2" x14ac:dyDescent="0.4">
      <c r="A12" s="3" t="s">
        <v>11</v>
      </c>
      <c r="B12" s="6">
        <f>'DAY1'!$H74</f>
        <v>12461</v>
      </c>
    </row>
    <row r="13" spans="1:2" x14ac:dyDescent="0.4">
      <c r="A13" s="3" t="s">
        <v>12</v>
      </c>
      <c r="B13" s="6">
        <f>'DAY1'!$H75</f>
        <v>6325</v>
      </c>
    </row>
    <row r="14" spans="1:2" x14ac:dyDescent="0.4">
      <c r="A14" s="4" t="s">
        <v>13</v>
      </c>
      <c r="B14" s="7">
        <f>SUM(B2:B13)</f>
        <v>110401</v>
      </c>
    </row>
    <row r="15" spans="1:2" x14ac:dyDescent="0.4">
      <c r="A15" s="3" t="s">
        <v>14</v>
      </c>
      <c r="B15" s="6">
        <f>'DAY1'!$H76</f>
        <v>30680</v>
      </c>
    </row>
    <row r="16" spans="1:2" x14ac:dyDescent="0.4">
      <c r="A16" s="3" t="s">
        <v>15</v>
      </c>
      <c r="B16" s="6">
        <f>'DAY1'!$H77</f>
        <v>6928</v>
      </c>
    </row>
    <row r="17" spans="1:2" x14ac:dyDescent="0.4">
      <c r="A17" s="3" t="s">
        <v>16</v>
      </c>
      <c r="B17" s="6">
        <f>'DAY1'!$H78</f>
        <v>9119</v>
      </c>
    </row>
    <row r="18" spans="1:2" x14ac:dyDescent="0.4">
      <c r="A18" s="3" t="s">
        <v>17</v>
      </c>
      <c r="B18" s="6">
        <f>'DAY1'!$H79</f>
        <v>6817</v>
      </c>
    </row>
    <row r="19" spans="1:2" x14ac:dyDescent="0.4">
      <c r="A19" s="3" t="s">
        <v>18</v>
      </c>
      <c r="B19" s="6">
        <f>'DAY1'!$H80</f>
        <v>10941</v>
      </c>
    </row>
    <row r="20" spans="1:2" x14ac:dyDescent="0.4">
      <c r="A20" s="3" t="s">
        <v>19</v>
      </c>
      <c r="B20" s="6">
        <f>'DAY1'!$H81</f>
        <v>26822</v>
      </c>
    </row>
    <row r="21" spans="1:2" x14ac:dyDescent="0.4">
      <c r="A21" s="3" t="s">
        <v>20</v>
      </c>
      <c r="B21" s="6">
        <f>'DAY1'!$H82</f>
        <v>32211</v>
      </c>
    </row>
    <row r="22" spans="1:2" x14ac:dyDescent="0.4">
      <c r="A22" s="3" t="s">
        <v>21</v>
      </c>
      <c r="B22" s="6">
        <f>'DAY1'!$H83</f>
        <v>15502</v>
      </c>
    </row>
    <row r="23" spans="1:2" x14ac:dyDescent="0.4">
      <c r="A23" s="3" t="s">
        <v>22</v>
      </c>
      <c r="B23" s="6">
        <f>'DAY1'!$H84</f>
        <v>7628</v>
      </c>
    </row>
    <row r="24" spans="1:2" x14ac:dyDescent="0.4">
      <c r="A24" s="4" t="s">
        <v>23</v>
      </c>
      <c r="B24" s="7">
        <f>SUM(B15:B23)</f>
        <v>146648</v>
      </c>
    </row>
    <row r="25" spans="1:2" x14ac:dyDescent="0.4">
      <c r="A25" s="5" t="s">
        <v>24</v>
      </c>
      <c r="B25" s="8">
        <f>B14+B24</f>
        <v>257049</v>
      </c>
    </row>
    <row r="26" spans="1:2" s="34" customFormat="1" x14ac:dyDescent="0.4">
      <c r="A26" s="32"/>
      <c r="B26" s="33"/>
    </row>
    <row r="28" spans="1:2" x14ac:dyDescent="0.4">
      <c r="A28" s="2" t="s">
        <v>31</v>
      </c>
      <c r="B28" s="25">
        <f>B1</f>
        <v>45986</v>
      </c>
    </row>
    <row r="29" spans="1:2" x14ac:dyDescent="0.4">
      <c r="A29" s="3" t="s">
        <v>1</v>
      </c>
      <c r="B29" s="6">
        <f>'DAY1'!$D64</f>
        <v>0</v>
      </c>
    </row>
    <row r="30" spans="1:2" x14ac:dyDescent="0.4">
      <c r="A30" s="3" t="s">
        <v>2</v>
      </c>
      <c r="B30" s="6">
        <f>'DAY1'!$D65</f>
        <v>0</v>
      </c>
    </row>
    <row r="31" spans="1:2" x14ac:dyDescent="0.4">
      <c r="A31" s="3" t="s">
        <v>3</v>
      </c>
      <c r="B31" s="6">
        <f>'DAY1'!$D66</f>
        <v>2</v>
      </c>
    </row>
    <row r="32" spans="1:2" x14ac:dyDescent="0.4">
      <c r="A32" s="3" t="s">
        <v>4</v>
      </c>
      <c r="B32" s="6">
        <f>'DAY1'!$D67</f>
        <v>0</v>
      </c>
    </row>
    <row r="33" spans="1:2" x14ac:dyDescent="0.4">
      <c r="A33" s="3" t="s">
        <v>5</v>
      </c>
      <c r="B33" s="6">
        <f>'DAY1'!$D68</f>
        <v>1</v>
      </c>
    </row>
    <row r="34" spans="1:2" x14ac:dyDescent="0.4">
      <c r="A34" s="3" t="s">
        <v>6</v>
      </c>
      <c r="B34" s="6">
        <f>'DAY1'!$D69</f>
        <v>3</v>
      </c>
    </row>
    <row r="35" spans="1:2" x14ac:dyDescent="0.4">
      <c r="A35" s="3" t="s">
        <v>7</v>
      </c>
      <c r="B35" s="6">
        <f>'DAY1'!$D70</f>
        <v>0</v>
      </c>
    </row>
    <row r="36" spans="1:2" x14ac:dyDescent="0.4">
      <c r="A36" s="3" t="s">
        <v>8</v>
      </c>
      <c r="B36" s="6">
        <f>'DAY1'!$D71</f>
        <v>2</v>
      </c>
    </row>
    <row r="37" spans="1:2" x14ac:dyDescent="0.4">
      <c r="A37" s="3" t="s">
        <v>9</v>
      </c>
      <c r="B37" s="6">
        <f>'DAY1'!$D72</f>
        <v>1</v>
      </c>
    </row>
    <row r="38" spans="1:2" x14ac:dyDescent="0.4">
      <c r="A38" s="3" t="s">
        <v>10</v>
      </c>
      <c r="B38" s="6">
        <f>'DAY1'!$D73</f>
        <v>1</v>
      </c>
    </row>
    <row r="39" spans="1:2" x14ac:dyDescent="0.4">
      <c r="A39" s="3" t="s">
        <v>11</v>
      </c>
      <c r="B39" s="6">
        <f>'DAY1'!$D74</f>
        <v>2</v>
      </c>
    </row>
    <row r="40" spans="1:2" x14ac:dyDescent="0.4">
      <c r="A40" s="3" t="s">
        <v>12</v>
      </c>
      <c r="B40" s="6">
        <f>'DAY1'!$D75</f>
        <v>0</v>
      </c>
    </row>
    <row r="41" spans="1:2" x14ac:dyDescent="0.4">
      <c r="A41" s="4" t="s">
        <v>13</v>
      </c>
      <c r="B41" s="7">
        <f>SUM(B29:B40)</f>
        <v>12</v>
      </c>
    </row>
    <row r="42" spans="1:2" x14ac:dyDescent="0.4">
      <c r="A42" s="3" t="s">
        <v>14</v>
      </c>
      <c r="B42" s="6">
        <f>'DAY1'!$D76</f>
        <v>7</v>
      </c>
    </row>
    <row r="43" spans="1:2" x14ac:dyDescent="0.4">
      <c r="A43" s="3" t="s">
        <v>15</v>
      </c>
      <c r="B43" s="6">
        <f>'DAY1'!$D77</f>
        <v>0</v>
      </c>
    </row>
    <row r="44" spans="1:2" x14ac:dyDescent="0.4">
      <c r="A44" s="3" t="s">
        <v>16</v>
      </c>
      <c r="B44" s="6">
        <f>'DAY1'!$D78</f>
        <v>0</v>
      </c>
    </row>
    <row r="45" spans="1:2" x14ac:dyDescent="0.4">
      <c r="A45" s="3" t="s">
        <v>17</v>
      </c>
      <c r="B45" s="6">
        <f>'DAY1'!$D79</f>
        <v>2</v>
      </c>
    </row>
    <row r="46" spans="1:2" x14ac:dyDescent="0.4">
      <c r="A46" s="3" t="s">
        <v>18</v>
      </c>
      <c r="B46" s="6">
        <f>'DAY1'!$D80</f>
        <v>1</v>
      </c>
    </row>
    <row r="47" spans="1:2" x14ac:dyDescent="0.4">
      <c r="A47" s="3" t="s">
        <v>19</v>
      </c>
      <c r="B47" s="6">
        <f>'DAY1'!$D81</f>
        <v>0</v>
      </c>
    </row>
    <row r="48" spans="1:2" x14ac:dyDescent="0.4">
      <c r="A48" s="3" t="s">
        <v>20</v>
      </c>
      <c r="B48" s="6">
        <f>'DAY1'!$D82</f>
        <v>2</v>
      </c>
    </row>
    <row r="49" spans="1:2" x14ac:dyDescent="0.4">
      <c r="A49" s="3" t="s">
        <v>21</v>
      </c>
      <c r="B49" s="6">
        <f>'DAY1'!$D83</f>
        <v>3</v>
      </c>
    </row>
    <row r="50" spans="1:2" x14ac:dyDescent="0.4">
      <c r="A50" s="3" t="s">
        <v>22</v>
      </c>
      <c r="B50" s="6">
        <f>'DAY1'!$D84</f>
        <v>2</v>
      </c>
    </row>
    <row r="51" spans="1:2" x14ac:dyDescent="0.4">
      <c r="A51" s="4" t="s">
        <v>23</v>
      </c>
      <c r="B51" s="7">
        <f>SUM(B42:B50)</f>
        <v>17</v>
      </c>
    </row>
    <row r="52" spans="1:2" x14ac:dyDescent="0.4">
      <c r="A52" s="5" t="s">
        <v>24</v>
      </c>
      <c r="B52" s="8">
        <f>B41+B51</f>
        <v>29</v>
      </c>
    </row>
    <row r="55" spans="1:2" x14ac:dyDescent="0.4">
      <c r="A55" s="2" t="s">
        <v>33</v>
      </c>
      <c r="B55" s="25">
        <f>B1</f>
        <v>45986</v>
      </c>
    </row>
    <row r="56" spans="1:2" x14ac:dyDescent="0.4">
      <c r="A56" s="3" t="s">
        <v>1</v>
      </c>
      <c r="B56" s="6">
        <f>'DAY1'!$E64</f>
        <v>1</v>
      </c>
    </row>
    <row r="57" spans="1:2" x14ac:dyDescent="0.4">
      <c r="A57" s="3" t="s">
        <v>2</v>
      </c>
      <c r="B57" s="6">
        <f>'DAY1'!$E65</f>
        <v>0</v>
      </c>
    </row>
    <row r="58" spans="1:2" x14ac:dyDescent="0.4">
      <c r="A58" s="3" t="s">
        <v>3</v>
      </c>
      <c r="B58" s="6">
        <f>'DAY1'!$E66</f>
        <v>0</v>
      </c>
    </row>
    <row r="59" spans="1:2" x14ac:dyDescent="0.4">
      <c r="A59" s="3" t="s">
        <v>4</v>
      </c>
      <c r="B59" s="6">
        <f>'DAY1'!$E67</f>
        <v>1</v>
      </c>
    </row>
    <row r="60" spans="1:2" x14ac:dyDescent="0.4">
      <c r="A60" s="3" t="s">
        <v>5</v>
      </c>
      <c r="B60" s="6">
        <f>'DAY1'!$E68</f>
        <v>0</v>
      </c>
    </row>
    <row r="61" spans="1:2" x14ac:dyDescent="0.4">
      <c r="A61" s="3" t="s">
        <v>6</v>
      </c>
      <c r="B61" s="6">
        <f>'DAY1'!$E69</f>
        <v>0</v>
      </c>
    </row>
    <row r="62" spans="1:2" x14ac:dyDescent="0.4">
      <c r="A62" s="3" t="s">
        <v>7</v>
      </c>
      <c r="B62" s="6">
        <f>'DAY1'!$E70</f>
        <v>0</v>
      </c>
    </row>
    <row r="63" spans="1:2" x14ac:dyDescent="0.4">
      <c r="A63" s="3" t="s">
        <v>8</v>
      </c>
      <c r="B63" s="6">
        <f>'DAY1'!$E71</f>
        <v>5</v>
      </c>
    </row>
    <row r="64" spans="1:2" x14ac:dyDescent="0.4">
      <c r="A64" s="3" t="s">
        <v>9</v>
      </c>
      <c r="B64" s="6">
        <f>'DAY1'!$E72</f>
        <v>1</v>
      </c>
    </row>
    <row r="65" spans="1:2" x14ac:dyDescent="0.4">
      <c r="A65" s="3" t="s">
        <v>10</v>
      </c>
      <c r="B65" s="6">
        <f>'DAY1'!$E73</f>
        <v>2</v>
      </c>
    </row>
    <row r="66" spans="1:2" x14ac:dyDescent="0.4">
      <c r="A66" s="3" t="s">
        <v>11</v>
      </c>
      <c r="B66" s="6">
        <f>'DAY1'!$E74</f>
        <v>1</v>
      </c>
    </row>
    <row r="67" spans="1:2" x14ac:dyDescent="0.4">
      <c r="A67" s="3" t="s">
        <v>12</v>
      </c>
      <c r="B67" s="6">
        <f>'DAY1'!$E75</f>
        <v>3</v>
      </c>
    </row>
    <row r="68" spans="1:2" x14ac:dyDescent="0.4">
      <c r="A68" s="4" t="s">
        <v>13</v>
      </c>
      <c r="B68" s="7">
        <f>SUM(B56:B67)</f>
        <v>14</v>
      </c>
    </row>
    <row r="69" spans="1:2" x14ac:dyDescent="0.4">
      <c r="A69" s="3" t="s">
        <v>14</v>
      </c>
      <c r="B69" s="6">
        <f>'DAY1'!$E76</f>
        <v>12</v>
      </c>
    </row>
    <row r="70" spans="1:2" x14ac:dyDescent="0.4">
      <c r="A70" s="3" t="s">
        <v>15</v>
      </c>
      <c r="B70" s="6">
        <f>'DAY1'!$E77</f>
        <v>0</v>
      </c>
    </row>
    <row r="71" spans="1:2" x14ac:dyDescent="0.4">
      <c r="A71" s="3" t="s">
        <v>16</v>
      </c>
      <c r="B71" s="6">
        <f>'DAY1'!$E78</f>
        <v>1</v>
      </c>
    </row>
    <row r="72" spans="1:2" x14ac:dyDescent="0.4">
      <c r="A72" s="3" t="s">
        <v>17</v>
      </c>
      <c r="B72" s="6">
        <f>'DAY1'!$E79</f>
        <v>0</v>
      </c>
    </row>
    <row r="73" spans="1:2" x14ac:dyDescent="0.4">
      <c r="A73" s="3" t="s">
        <v>18</v>
      </c>
      <c r="B73" s="6">
        <f>'DAY1'!$E80</f>
        <v>0</v>
      </c>
    </row>
    <row r="74" spans="1:2" x14ac:dyDescent="0.4">
      <c r="A74" s="3" t="s">
        <v>19</v>
      </c>
      <c r="B74" s="6">
        <f>'DAY1'!$E81</f>
        <v>2</v>
      </c>
    </row>
    <row r="75" spans="1:2" x14ac:dyDescent="0.4">
      <c r="A75" s="3" t="s">
        <v>20</v>
      </c>
      <c r="B75" s="6">
        <f>'DAY1'!$E82</f>
        <v>1</v>
      </c>
    </row>
    <row r="76" spans="1:2" x14ac:dyDescent="0.4">
      <c r="A76" s="3" t="s">
        <v>21</v>
      </c>
      <c r="B76" s="6">
        <f>'DAY1'!$E83</f>
        <v>0</v>
      </c>
    </row>
    <row r="77" spans="1:2" x14ac:dyDescent="0.4">
      <c r="A77" s="3" t="s">
        <v>22</v>
      </c>
      <c r="B77" s="6">
        <f>'DAY1'!$E84</f>
        <v>0</v>
      </c>
    </row>
    <row r="78" spans="1:2" x14ac:dyDescent="0.4">
      <c r="A78" s="4" t="s">
        <v>23</v>
      </c>
      <c r="B78" s="7">
        <f>SUM(B69:B77)</f>
        <v>16</v>
      </c>
    </row>
    <row r="79" spans="1:2" x14ac:dyDescent="0.4">
      <c r="A79" s="5" t="s">
        <v>24</v>
      </c>
      <c r="B79" s="8">
        <f>B68+B78</f>
        <v>30</v>
      </c>
    </row>
    <row r="82" spans="1:2" x14ac:dyDescent="0.4">
      <c r="A82" s="2" t="s">
        <v>35</v>
      </c>
      <c r="B82" s="25">
        <f>B1</f>
        <v>45986</v>
      </c>
    </row>
    <row r="83" spans="1:2" x14ac:dyDescent="0.4">
      <c r="A83" s="3" t="s">
        <v>1</v>
      </c>
      <c r="B83" s="6">
        <f>'DAY1'!I64</f>
        <v>1</v>
      </c>
    </row>
    <row r="84" spans="1:2" x14ac:dyDescent="0.4">
      <c r="A84" s="3" t="s">
        <v>2</v>
      </c>
      <c r="B84" s="6">
        <f>'DAY1'!I65</f>
        <v>2</v>
      </c>
    </row>
    <row r="85" spans="1:2" x14ac:dyDescent="0.4">
      <c r="A85" s="3" t="s">
        <v>3</v>
      </c>
      <c r="B85" s="6">
        <f>'DAY1'!I66</f>
        <v>0</v>
      </c>
    </row>
    <row r="86" spans="1:2" x14ac:dyDescent="0.4">
      <c r="A86" s="3" t="s">
        <v>4</v>
      </c>
      <c r="B86" s="6">
        <f>'DAY1'!I67</f>
        <v>1</v>
      </c>
    </row>
    <row r="87" spans="1:2" x14ac:dyDescent="0.4">
      <c r="A87" s="3" t="s">
        <v>5</v>
      </c>
      <c r="B87" s="6">
        <f>'DAY1'!I68</f>
        <v>4</v>
      </c>
    </row>
    <row r="88" spans="1:2" x14ac:dyDescent="0.4">
      <c r="A88" s="3" t="s">
        <v>6</v>
      </c>
      <c r="B88" s="6">
        <f>'DAY1'!I69</f>
        <v>3</v>
      </c>
    </row>
    <row r="89" spans="1:2" x14ac:dyDescent="0.4">
      <c r="A89" s="3" t="s">
        <v>7</v>
      </c>
      <c r="B89" s="6">
        <f>'DAY1'!I70</f>
        <v>3</v>
      </c>
    </row>
    <row r="90" spans="1:2" x14ac:dyDescent="0.4">
      <c r="A90" s="3" t="s">
        <v>8</v>
      </c>
      <c r="B90" s="6">
        <f>'DAY1'!I71</f>
        <v>7</v>
      </c>
    </row>
    <row r="91" spans="1:2" x14ac:dyDescent="0.4">
      <c r="A91" s="3" t="s">
        <v>9</v>
      </c>
      <c r="B91" s="6">
        <f>'DAY1'!I72</f>
        <v>3</v>
      </c>
    </row>
    <row r="92" spans="1:2" x14ac:dyDescent="0.4">
      <c r="A92" s="3" t="s">
        <v>10</v>
      </c>
      <c r="B92" s="6">
        <f>'DAY1'!I73</f>
        <v>1</v>
      </c>
    </row>
    <row r="93" spans="1:2" x14ac:dyDescent="0.4">
      <c r="A93" s="3" t="s">
        <v>11</v>
      </c>
      <c r="B93" s="6">
        <f>'DAY1'!I74</f>
        <v>1</v>
      </c>
    </row>
    <row r="94" spans="1:2" x14ac:dyDescent="0.4">
      <c r="A94" s="3" t="s">
        <v>12</v>
      </c>
      <c r="B94" s="6">
        <f>'DAY1'!I75</f>
        <v>2</v>
      </c>
    </row>
    <row r="95" spans="1:2" x14ac:dyDescent="0.4">
      <c r="A95" s="4" t="s">
        <v>25</v>
      </c>
      <c r="B95" s="7">
        <f>SUM(B83:B94)</f>
        <v>28</v>
      </c>
    </row>
    <row r="96" spans="1:2" x14ac:dyDescent="0.4">
      <c r="A96" s="3" t="s">
        <v>14</v>
      </c>
      <c r="B96" s="6">
        <f>'DAY1'!I76</f>
        <v>12</v>
      </c>
    </row>
    <row r="97" spans="1:2" x14ac:dyDescent="0.4">
      <c r="A97" s="3" t="s">
        <v>15</v>
      </c>
      <c r="B97" s="6">
        <f>'DAY1'!I77</f>
        <v>2</v>
      </c>
    </row>
    <row r="98" spans="1:2" x14ac:dyDescent="0.4">
      <c r="A98" s="3" t="s">
        <v>16</v>
      </c>
      <c r="B98" s="6">
        <f>'DAY1'!I78</f>
        <v>3</v>
      </c>
    </row>
    <row r="99" spans="1:2" x14ac:dyDescent="0.4">
      <c r="A99" s="3" t="s">
        <v>17</v>
      </c>
      <c r="B99" s="6">
        <f>'DAY1'!I79</f>
        <v>2</v>
      </c>
    </row>
    <row r="100" spans="1:2" x14ac:dyDescent="0.4">
      <c r="A100" s="3" t="s">
        <v>18</v>
      </c>
      <c r="B100" s="6">
        <f>'DAY1'!I80</f>
        <v>1</v>
      </c>
    </row>
    <row r="101" spans="1:2" x14ac:dyDescent="0.4">
      <c r="A101" s="3" t="s">
        <v>19</v>
      </c>
      <c r="B101" s="6">
        <f>'DAY1'!I81</f>
        <v>6</v>
      </c>
    </row>
    <row r="102" spans="1:2" x14ac:dyDescent="0.4">
      <c r="A102" s="3" t="s">
        <v>20</v>
      </c>
      <c r="B102" s="6">
        <f>'DAY1'!I82</f>
        <v>10</v>
      </c>
    </row>
    <row r="103" spans="1:2" x14ac:dyDescent="0.4">
      <c r="A103" s="3" t="s">
        <v>21</v>
      </c>
      <c r="B103" s="6">
        <f>'DAY1'!I83</f>
        <v>6</v>
      </c>
    </row>
    <row r="104" spans="1:2" x14ac:dyDescent="0.4">
      <c r="A104" s="3" t="s">
        <v>22</v>
      </c>
      <c r="B104" s="6">
        <f>'DAY1'!I84</f>
        <v>2</v>
      </c>
    </row>
    <row r="105" spans="1:2" x14ac:dyDescent="0.4">
      <c r="A105" s="4" t="s">
        <v>23</v>
      </c>
      <c r="B105" s="7">
        <f>SUM(B96:B104)</f>
        <v>44</v>
      </c>
    </row>
    <row r="106" spans="1:2" x14ac:dyDescent="0.4">
      <c r="A106" s="5" t="s">
        <v>26</v>
      </c>
      <c r="B106" s="8">
        <f>B95+B105</f>
        <v>72</v>
      </c>
    </row>
    <row r="107" spans="1:2" s="21" customFormat="1" x14ac:dyDescent="0.4">
      <c r="A107" s="19"/>
      <c r="B107" s="20"/>
    </row>
    <row r="109" spans="1:2" x14ac:dyDescent="0.4">
      <c r="A109" s="2" t="s">
        <v>34</v>
      </c>
      <c r="B109" s="25">
        <f>B1</f>
        <v>45986</v>
      </c>
    </row>
    <row r="110" spans="1:2" x14ac:dyDescent="0.4">
      <c r="A110" s="3" t="s">
        <v>1</v>
      </c>
      <c r="B110" s="6">
        <f>'DAY1'!$G64</f>
        <v>1</v>
      </c>
    </row>
    <row r="111" spans="1:2" x14ac:dyDescent="0.4">
      <c r="A111" s="3" t="s">
        <v>2</v>
      </c>
      <c r="B111" s="6">
        <f>'DAY1'!$G65</f>
        <v>1</v>
      </c>
    </row>
    <row r="112" spans="1:2" x14ac:dyDescent="0.4">
      <c r="A112" s="3" t="s">
        <v>3</v>
      </c>
      <c r="B112" s="6">
        <f>'DAY1'!$G66</f>
        <v>2</v>
      </c>
    </row>
    <row r="113" spans="1:2" x14ac:dyDescent="0.4">
      <c r="A113" s="3" t="s">
        <v>4</v>
      </c>
      <c r="B113" s="6">
        <f>'DAY1'!$G67</f>
        <v>2</v>
      </c>
    </row>
    <row r="114" spans="1:2" x14ac:dyDescent="0.4">
      <c r="A114" s="3" t="s">
        <v>5</v>
      </c>
      <c r="B114" s="6">
        <f>'DAY1'!$G68</f>
        <v>7</v>
      </c>
    </row>
    <row r="115" spans="1:2" x14ac:dyDescent="0.4">
      <c r="A115" s="3" t="s">
        <v>6</v>
      </c>
      <c r="B115" s="6">
        <f>'DAY1'!$G69</f>
        <v>2</v>
      </c>
    </row>
    <row r="116" spans="1:2" x14ac:dyDescent="0.4">
      <c r="A116" s="3" t="s">
        <v>7</v>
      </c>
      <c r="B116" s="6">
        <f>'DAY1'!$G70</f>
        <v>5</v>
      </c>
    </row>
    <row r="117" spans="1:2" x14ac:dyDescent="0.4">
      <c r="A117" s="3" t="s">
        <v>8</v>
      </c>
      <c r="B117" s="6">
        <f>'DAY1'!$G71</f>
        <v>2</v>
      </c>
    </row>
    <row r="118" spans="1:2" x14ac:dyDescent="0.4">
      <c r="A118" s="3" t="s">
        <v>9</v>
      </c>
      <c r="B118" s="6">
        <f>'DAY1'!$G72</f>
        <v>5</v>
      </c>
    </row>
    <row r="119" spans="1:2" x14ac:dyDescent="0.4">
      <c r="A119" s="3" t="s">
        <v>10</v>
      </c>
      <c r="B119" s="6">
        <f>'DAY1'!$G73</f>
        <v>1</v>
      </c>
    </row>
    <row r="120" spans="1:2" x14ac:dyDescent="0.4">
      <c r="A120" s="3" t="s">
        <v>11</v>
      </c>
      <c r="B120" s="6">
        <f>'DAY1'!$G74</f>
        <v>6</v>
      </c>
    </row>
    <row r="121" spans="1:2" x14ac:dyDescent="0.4">
      <c r="A121" s="3" t="s">
        <v>12</v>
      </c>
      <c r="B121" s="6">
        <f>'DAY1'!$G75</f>
        <v>0</v>
      </c>
    </row>
    <row r="122" spans="1:2" x14ac:dyDescent="0.4">
      <c r="A122" s="4" t="s">
        <v>25</v>
      </c>
      <c r="B122" s="7">
        <f>SUM(B110:B121)</f>
        <v>34</v>
      </c>
    </row>
    <row r="123" spans="1:2" x14ac:dyDescent="0.4">
      <c r="A123" s="3" t="s">
        <v>14</v>
      </c>
      <c r="B123" s="6">
        <f>'DAY1'!$G76</f>
        <v>7</v>
      </c>
    </row>
    <row r="124" spans="1:2" x14ac:dyDescent="0.4">
      <c r="A124" s="3" t="s">
        <v>15</v>
      </c>
      <c r="B124" s="6">
        <f>'DAY1'!$G77</f>
        <v>3</v>
      </c>
    </row>
    <row r="125" spans="1:2" x14ac:dyDescent="0.4">
      <c r="A125" s="3" t="s">
        <v>16</v>
      </c>
      <c r="B125" s="6">
        <f>'DAY1'!$G78</f>
        <v>4</v>
      </c>
    </row>
    <row r="126" spans="1:2" x14ac:dyDescent="0.4">
      <c r="A126" s="3" t="s">
        <v>17</v>
      </c>
      <c r="B126" s="6">
        <f>'DAY1'!$G79</f>
        <v>1</v>
      </c>
    </row>
    <row r="127" spans="1:2" x14ac:dyDescent="0.4">
      <c r="A127" s="3" t="s">
        <v>18</v>
      </c>
      <c r="B127" s="6">
        <f>'DAY1'!$G80</f>
        <v>55</v>
      </c>
    </row>
    <row r="128" spans="1:2" x14ac:dyDescent="0.4">
      <c r="A128" s="3" t="s">
        <v>19</v>
      </c>
      <c r="B128" s="6">
        <f>'DAY1'!$G81</f>
        <v>8</v>
      </c>
    </row>
    <row r="129" spans="1:2" x14ac:dyDescent="0.4">
      <c r="A129" s="3" t="s">
        <v>20</v>
      </c>
      <c r="B129" s="6">
        <f>'DAY1'!$G82</f>
        <v>12</v>
      </c>
    </row>
    <row r="130" spans="1:2" x14ac:dyDescent="0.4">
      <c r="A130" s="3" t="s">
        <v>21</v>
      </c>
      <c r="B130" s="6">
        <f>'DAY1'!$G83</f>
        <v>4</v>
      </c>
    </row>
    <row r="131" spans="1:2" x14ac:dyDescent="0.4">
      <c r="A131" s="3" t="s">
        <v>22</v>
      </c>
      <c r="B131" s="6">
        <f>'DAY1'!$G84</f>
        <v>4</v>
      </c>
    </row>
    <row r="132" spans="1:2" x14ac:dyDescent="0.4">
      <c r="A132" s="4" t="s">
        <v>23</v>
      </c>
      <c r="B132" s="7">
        <f>SUM(B123:B131)</f>
        <v>98</v>
      </c>
    </row>
    <row r="133" spans="1:2" x14ac:dyDescent="0.4">
      <c r="A133" s="5" t="s">
        <v>26</v>
      </c>
      <c r="B133" s="8">
        <f>B122+B132</f>
        <v>132</v>
      </c>
    </row>
    <row r="136" spans="1:2" x14ac:dyDescent="0.4">
      <c r="A136" s="2" t="s">
        <v>40</v>
      </c>
      <c r="B136" s="25">
        <f>B1</f>
        <v>45986</v>
      </c>
    </row>
    <row r="137" spans="1:2" x14ac:dyDescent="0.4">
      <c r="A137" s="3" t="s">
        <v>1</v>
      </c>
      <c r="B137" s="6">
        <f>'DAY1'!$F64</f>
        <v>0</v>
      </c>
    </row>
    <row r="138" spans="1:2" x14ac:dyDescent="0.4">
      <c r="A138" s="3" t="s">
        <v>2</v>
      </c>
      <c r="B138" s="6">
        <f>'DAY1'!$F65</f>
        <v>0</v>
      </c>
    </row>
    <row r="139" spans="1:2" x14ac:dyDescent="0.4">
      <c r="A139" s="3" t="s">
        <v>3</v>
      </c>
      <c r="B139" s="6">
        <f>'DAY1'!$F66</f>
        <v>0</v>
      </c>
    </row>
    <row r="140" spans="1:2" x14ac:dyDescent="0.4">
      <c r="A140" s="3" t="s">
        <v>4</v>
      </c>
      <c r="B140" s="6">
        <f>'DAY1'!$F67</f>
        <v>0</v>
      </c>
    </row>
    <row r="141" spans="1:2" x14ac:dyDescent="0.4">
      <c r="A141" s="3" t="s">
        <v>5</v>
      </c>
      <c r="B141" s="6">
        <f>'DAY1'!$F68</f>
        <v>1</v>
      </c>
    </row>
    <row r="142" spans="1:2" x14ac:dyDescent="0.4">
      <c r="A142" s="3" t="s">
        <v>6</v>
      </c>
      <c r="B142" s="6">
        <f>'DAY1'!$F69</f>
        <v>0</v>
      </c>
    </row>
    <row r="143" spans="1:2" x14ac:dyDescent="0.4">
      <c r="A143" s="3" t="s">
        <v>7</v>
      </c>
      <c r="B143" s="6">
        <f>'DAY1'!$F70</f>
        <v>0</v>
      </c>
    </row>
    <row r="144" spans="1:2" x14ac:dyDescent="0.4">
      <c r="A144" s="3" t="s">
        <v>8</v>
      </c>
      <c r="B144" s="6">
        <f>'DAY1'!$F71</f>
        <v>0</v>
      </c>
    </row>
    <row r="145" spans="1:2" x14ac:dyDescent="0.4">
      <c r="A145" s="3" t="s">
        <v>9</v>
      </c>
      <c r="B145" s="6">
        <f>'DAY1'!$F72</f>
        <v>0</v>
      </c>
    </row>
    <row r="146" spans="1:2" x14ac:dyDescent="0.4">
      <c r="A146" s="3" t="s">
        <v>10</v>
      </c>
      <c r="B146" s="6">
        <f>'DAY1'!$F73</f>
        <v>1</v>
      </c>
    </row>
    <row r="147" spans="1:2" x14ac:dyDescent="0.4">
      <c r="A147" s="3" t="s">
        <v>11</v>
      </c>
      <c r="B147" s="6">
        <f>'DAY1'!$F74</f>
        <v>0</v>
      </c>
    </row>
    <row r="148" spans="1:2" x14ac:dyDescent="0.4">
      <c r="A148" s="3" t="s">
        <v>12</v>
      </c>
      <c r="B148" s="6">
        <f>'DAY1'!$F75</f>
        <v>0</v>
      </c>
    </row>
    <row r="149" spans="1:2" x14ac:dyDescent="0.4">
      <c r="A149" s="4" t="s">
        <v>13</v>
      </c>
      <c r="B149" s="7">
        <f>SUM(B137:B148)</f>
        <v>2</v>
      </c>
    </row>
    <row r="150" spans="1:2" x14ac:dyDescent="0.4">
      <c r="A150" s="3" t="s">
        <v>14</v>
      </c>
      <c r="B150" s="6">
        <f>'DAY1'!$F76</f>
        <v>0</v>
      </c>
    </row>
    <row r="151" spans="1:2" x14ac:dyDescent="0.4">
      <c r="A151" s="3" t="s">
        <v>15</v>
      </c>
      <c r="B151" s="6">
        <f>'DAY1'!$F77</f>
        <v>1</v>
      </c>
    </row>
    <row r="152" spans="1:2" x14ac:dyDescent="0.4">
      <c r="A152" s="3" t="s">
        <v>16</v>
      </c>
      <c r="B152" s="6">
        <f>'DAY1'!$F78</f>
        <v>0</v>
      </c>
    </row>
    <row r="153" spans="1:2" x14ac:dyDescent="0.4">
      <c r="A153" s="3" t="s">
        <v>17</v>
      </c>
      <c r="B153" s="6">
        <f>'DAY1'!$F79</f>
        <v>1</v>
      </c>
    </row>
    <row r="154" spans="1:2" x14ac:dyDescent="0.4">
      <c r="A154" s="3" t="s">
        <v>18</v>
      </c>
      <c r="B154" s="6">
        <f>'DAY1'!$F80</f>
        <v>0</v>
      </c>
    </row>
    <row r="155" spans="1:2" x14ac:dyDescent="0.4">
      <c r="A155" s="3" t="s">
        <v>19</v>
      </c>
      <c r="B155" s="6">
        <f>'DAY1'!$F81</f>
        <v>0</v>
      </c>
    </row>
    <row r="156" spans="1:2" x14ac:dyDescent="0.4">
      <c r="A156" s="3" t="s">
        <v>20</v>
      </c>
      <c r="B156" s="6">
        <f>'DAY1'!$F82</f>
        <v>0</v>
      </c>
    </row>
    <row r="157" spans="1:2" x14ac:dyDescent="0.4">
      <c r="A157" s="3" t="s">
        <v>21</v>
      </c>
      <c r="B157" s="6">
        <f>'DAY1'!$F83</f>
        <v>0</v>
      </c>
    </row>
    <row r="158" spans="1:2" x14ac:dyDescent="0.4">
      <c r="A158" s="3" t="s">
        <v>22</v>
      </c>
      <c r="B158" s="6">
        <f>'DAY1'!$F84</f>
        <v>0</v>
      </c>
    </row>
    <row r="159" spans="1:2" x14ac:dyDescent="0.4">
      <c r="A159" s="4" t="s">
        <v>23</v>
      </c>
      <c r="B159" s="7">
        <f>SUM(B150:B158)</f>
        <v>2</v>
      </c>
    </row>
    <row r="160" spans="1:2" x14ac:dyDescent="0.4">
      <c r="A160" s="5" t="s">
        <v>24</v>
      </c>
      <c r="B160" s="8">
        <f>B149+B159</f>
        <v>4</v>
      </c>
    </row>
    <row r="162" spans="1:2" s="28" customFormat="1" x14ac:dyDescent="0.4">
      <c r="A162" s="26"/>
      <c r="B162" s="27"/>
    </row>
    <row r="163" spans="1:2" x14ac:dyDescent="0.4">
      <c r="A163" s="2" t="s">
        <v>27</v>
      </c>
      <c r="B163" s="25">
        <f>B1</f>
        <v>45986</v>
      </c>
    </row>
    <row r="164" spans="1:2" x14ac:dyDescent="0.4">
      <c r="A164" s="3" t="s">
        <v>1</v>
      </c>
      <c r="B164" s="6">
        <f>'DAY1'!$H148</f>
        <v>5614</v>
      </c>
    </row>
    <row r="165" spans="1:2" x14ac:dyDescent="0.4">
      <c r="A165" s="3" t="s">
        <v>2</v>
      </c>
      <c r="B165" s="6">
        <f>'DAY1'!$H149</f>
        <v>1917</v>
      </c>
    </row>
    <row r="166" spans="1:2" x14ac:dyDescent="0.4">
      <c r="A166" s="3" t="s">
        <v>3</v>
      </c>
      <c r="B166" s="6">
        <f>'DAY1'!$H150</f>
        <v>1674</v>
      </c>
    </row>
    <row r="167" spans="1:2" x14ac:dyDescent="0.4">
      <c r="A167" s="3" t="s">
        <v>4</v>
      </c>
      <c r="B167" s="6">
        <f>'DAY1'!$H151</f>
        <v>4026</v>
      </c>
    </row>
    <row r="168" spans="1:2" x14ac:dyDescent="0.4">
      <c r="A168" s="3" t="s">
        <v>5</v>
      </c>
      <c r="B168" s="6">
        <f>'DAY1'!$H152</f>
        <v>10572</v>
      </c>
    </row>
    <row r="169" spans="1:2" x14ac:dyDescent="0.4">
      <c r="A169" s="3" t="s">
        <v>6</v>
      </c>
      <c r="B169" s="6">
        <f>'DAY1'!$H153</f>
        <v>5491</v>
      </c>
    </row>
    <row r="170" spans="1:2" x14ac:dyDescent="0.4">
      <c r="A170" s="3" t="s">
        <v>7</v>
      </c>
      <c r="B170" s="6">
        <f>'DAY1'!$H154</f>
        <v>7401</v>
      </c>
    </row>
    <row r="171" spans="1:2" x14ac:dyDescent="0.4">
      <c r="A171" s="3" t="s">
        <v>8</v>
      </c>
      <c r="B171" s="6">
        <f>'DAY1'!$H155</f>
        <v>14643</v>
      </c>
    </row>
    <row r="172" spans="1:2" x14ac:dyDescent="0.4">
      <c r="A172" s="3" t="s">
        <v>9</v>
      </c>
      <c r="B172" s="6">
        <f>'DAY1'!$H156</f>
        <v>9299</v>
      </c>
    </row>
    <row r="173" spans="1:2" x14ac:dyDescent="0.4">
      <c r="A173" s="3" t="s">
        <v>10</v>
      </c>
      <c r="B173" s="6">
        <f>'DAY1'!$H157</f>
        <v>5471</v>
      </c>
    </row>
    <row r="174" spans="1:2" x14ac:dyDescent="0.4">
      <c r="A174" s="3" t="s">
        <v>11</v>
      </c>
      <c r="B174" s="6">
        <f>'DAY1'!$H158</f>
        <v>8754</v>
      </c>
    </row>
    <row r="175" spans="1:2" x14ac:dyDescent="0.4">
      <c r="A175" s="3" t="s">
        <v>12</v>
      </c>
      <c r="B175" s="6">
        <f>'DAY1'!$H159</f>
        <v>3180</v>
      </c>
    </row>
    <row r="176" spans="1:2" x14ac:dyDescent="0.4">
      <c r="A176" s="4" t="s">
        <v>13</v>
      </c>
      <c r="B176" s="7">
        <f>SUM(B164:B175)</f>
        <v>78042</v>
      </c>
    </row>
    <row r="177" spans="1:2" x14ac:dyDescent="0.4">
      <c r="A177" s="3" t="s">
        <v>14</v>
      </c>
      <c r="B177" s="6">
        <f>'DAY1'!$H160</f>
        <v>23017</v>
      </c>
    </row>
    <row r="178" spans="1:2" x14ac:dyDescent="0.4">
      <c r="A178" s="3" t="s">
        <v>15</v>
      </c>
      <c r="B178" s="6">
        <f>'DAY1'!$H161</f>
        <v>5395</v>
      </c>
    </row>
    <row r="179" spans="1:2" x14ac:dyDescent="0.4">
      <c r="A179" s="3" t="s">
        <v>16</v>
      </c>
      <c r="B179" s="6">
        <f>'DAY1'!$H162</f>
        <v>5568</v>
      </c>
    </row>
    <row r="180" spans="1:2" x14ac:dyDescent="0.4">
      <c r="A180" s="3" t="s">
        <v>17</v>
      </c>
      <c r="B180" s="6">
        <f>'DAY1'!$H163</f>
        <v>5151</v>
      </c>
    </row>
    <row r="181" spans="1:2" x14ac:dyDescent="0.4">
      <c r="A181" s="3" t="s">
        <v>18</v>
      </c>
      <c r="B181" s="6">
        <f>'DAY1'!$H164</f>
        <v>6234</v>
      </c>
    </row>
    <row r="182" spans="1:2" x14ac:dyDescent="0.4">
      <c r="A182" s="3" t="s">
        <v>19</v>
      </c>
      <c r="B182" s="6">
        <f>'DAY1'!$H165</f>
        <v>16552</v>
      </c>
    </row>
    <row r="183" spans="1:2" x14ac:dyDescent="0.4">
      <c r="A183" s="3" t="s">
        <v>20</v>
      </c>
      <c r="B183" s="6">
        <f>'DAY1'!$H166</f>
        <v>19033</v>
      </c>
    </row>
    <row r="184" spans="1:2" x14ac:dyDescent="0.4">
      <c r="A184" s="3" t="s">
        <v>21</v>
      </c>
      <c r="B184" s="6">
        <f>'DAY1'!$H167</f>
        <v>12161</v>
      </c>
    </row>
    <row r="185" spans="1:2" x14ac:dyDescent="0.4">
      <c r="A185" s="3" t="s">
        <v>22</v>
      </c>
      <c r="B185" s="6">
        <f>'DAY1'!$H168</f>
        <v>4372</v>
      </c>
    </row>
    <row r="186" spans="1:2" x14ac:dyDescent="0.4">
      <c r="A186" s="4" t="s">
        <v>23</v>
      </c>
      <c r="B186" s="7">
        <f>SUM(B177:B185)</f>
        <v>97483</v>
      </c>
    </row>
    <row r="187" spans="1:2" x14ac:dyDescent="0.4">
      <c r="A187" s="5" t="s">
        <v>24</v>
      </c>
      <c r="B187" s="8">
        <f>B176+B186</f>
        <v>175525</v>
      </c>
    </row>
    <row r="188" spans="1:2" s="34" customFormat="1" x14ac:dyDescent="0.4">
      <c r="A188" s="32"/>
      <c r="B188" s="33"/>
    </row>
    <row r="190" spans="1:2" x14ac:dyDescent="0.4">
      <c r="A190" s="2" t="s">
        <v>36</v>
      </c>
      <c r="B190" s="25">
        <f>B1</f>
        <v>45986</v>
      </c>
    </row>
    <row r="191" spans="1:2" x14ac:dyDescent="0.4">
      <c r="A191" s="3" t="s">
        <v>1</v>
      </c>
      <c r="B191" s="6">
        <f>'DAY1'!$D148</f>
        <v>0</v>
      </c>
    </row>
    <row r="192" spans="1:2" x14ac:dyDescent="0.4">
      <c r="A192" s="3" t="s">
        <v>2</v>
      </c>
      <c r="B192" s="6">
        <f>'DAY1'!$D149</f>
        <v>0</v>
      </c>
    </row>
    <row r="193" spans="1:2" x14ac:dyDescent="0.4">
      <c r="A193" s="3" t="s">
        <v>3</v>
      </c>
      <c r="B193" s="6">
        <f>'DAY1'!$D150</f>
        <v>2</v>
      </c>
    </row>
    <row r="194" spans="1:2" x14ac:dyDescent="0.4">
      <c r="A194" s="3" t="s">
        <v>4</v>
      </c>
      <c r="B194" s="6">
        <f>'DAY1'!$D151</f>
        <v>0</v>
      </c>
    </row>
    <row r="195" spans="1:2" x14ac:dyDescent="0.4">
      <c r="A195" s="3" t="s">
        <v>5</v>
      </c>
      <c r="B195" s="6">
        <f>'DAY1'!$D152</f>
        <v>1</v>
      </c>
    </row>
    <row r="196" spans="1:2" x14ac:dyDescent="0.4">
      <c r="A196" s="3" t="s">
        <v>6</v>
      </c>
      <c r="B196" s="6">
        <f>'DAY1'!$D153</f>
        <v>3</v>
      </c>
    </row>
    <row r="197" spans="1:2" x14ac:dyDescent="0.4">
      <c r="A197" s="3" t="s">
        <v>7</v>
      </c>
      <c r="B197" s="6">
        <f>'DAY1'!$D154</f>
        <v>0</v>
      </c>
    </row>
    <row r="198" spans="1:2" x14ac:dyDescent="0.4">
      <c r="A198" s="3" t="s">
        <v>8</v>
      </c>
      <c r="B198" s="6">
        <f>'DAY1'!$D155</f>
        <v>2</v>
      </c>
    </row>
    <row r="199" spans="1:2" x14ac:dyDescent="0.4">
      <c r="A199" s="3" t="s">
        <v>9</v>
      </c>
      <c r="B199" s="6">
        <f>'DAY1'!$D156</f>
        <v>1</v>
      </c>
    </row>
    <row r="200" spans="1:2" x14ac:dyDescent="0.4">
      <c r="A200" s="3" t="s">
        <v>10</v>
      </c>
      <c r="B200" s="6">
        <f>'DAY1'!$D157</f>
        <v>1</v>
      </c>
    </row>
    <row r="201" spans="1:2" x14ac:dyDescent="0.4">
      <c r="A201" s="3" t="s">
        <v>11</v>
      </c>
      <c r="B201" s="6">
        <f>'DAY1'!$D158</f>
        <v>2</v>
      </c>
    </row>
    <row r="202" spans="1:2" x14ac:dyDescent="0.4">
      <c r="A202" s="3" t="s">
        <v>12</v>
      </c>
      <c r="B202" s="6">
        <f>'DAY1'!$D159</f>
        <v>0</v>
      </c>
    </row>
    <row r="203" spans="1:2" x14ac:dyDescent="0.4">
      <c r="A203" s="4" t="s">
        <v>13</v>
      </c>
      <c r="B203" s="7">
        <f>SUM(B191:B202)</f>
        <v>12</v>
      </c>
    </row>
    <row r="204" spans="1:2" x14ac:dyDescent="0.4">
      <c r="A204" s="3" t="s">
        <v>14</v>
      </c>
      <c r="B204" s="6">
        <f>'DAY1'!$D160</f>
        <v>7</v>
      </c>
    </row>
    <row r="205" spans="1:2" x14ac:dyDescent="0.4">
      <c r="A205" s="3" t="s">
        <v>15</v>
      </c>
      <c r="B205" s="6">
        <f>'DAY1'!$D161</f>
        <v>0</v>
      </c>
    </row>
    <row r="206" spans="1:2" x14ac:dyDescent="0.4">
      <c r="A206" s="3" t="s">
        <v>16</v>
      </c>
      <c r="B206" s="6">
        <f>'DAY1'!$D162</f>
        <v>0</v>
      </c>
    </row>
    <row r="207" spans="1:2" x14ac:dyDescent="0.4">
      <c r="A207" s="3" t="s">
        <v>17</v>
      </c>
      <c r="B207" s="6">
        <f>'DAY1'!$D163</f>
        <v>2</v>
      </c>
    </row>
    <row r="208" spans="1:2" x14ac:dyDescent="0.4">
      <c r="A208" s="3" t="s">
        <v>18</v>
      </c>
      <c r="B208" s="6">
        <f>'DAY1'!$D164</f>
        <v>1</v>
      </c>
    </row>
    <row r="209" spans="1:2" x14ac:dyDescent="0.4">
      <c r="A209" s="3" t="s">
        <v>19</v>
      </c>
      <c r="B209" s="6">
        <f>'DAY1'!$D165</f>
        <v>0</v>
      </c>
    </row>
    <row r="210" spans="1:2" x14ac:dyDescent="0.4">
      <c r="A210" s="3" t="s">
        <v>20</v>
      </c>
      <c r="B210" s="6">
        <f>'DAY1'!$D166</f>
        <v>2</v>
      </c>
    </row>
    <row r="211" spans="1:2" x14ac:dyDescent="0.4">
      <c r="A211" s="3" t="s">
        <v>21</v>
      </c>
      <c r="B211" s="6">
        <f>'DAY1'!$D167</f>
        <v>3</v>
      </c>
    </row>
    <row r="212" spans="1:2" x14ac:dyDescent="0.4">
      <c r="A212" s="3" t="s">
        <v>22</v>
      </c>
      <c r="B212" s="6">
        <f>'DAY1'!$D168</f>
        <v>2</v>
      </c>
    </row>
    <row r="213" spans="1:2" x14ac:dyDescent="0.4">
      <c r="A213" s="4" t="s">
        <v>23</v>
      </c>
      <c r="B213" s="7">
        <f>SUM(B204:B212)</f>
        <v>17</v>
      </c>
    </row>
    <row r="214" spans="1:2" x14ac:dyDescent="0.4">
      <c r="A214" s="5" t="s">
        <v>24</v>
      </c>
      <c r="B214" s="8">
        <f>B203+B213</f>
        <v>29</v>
      </c>
    </row>
    <row r="217" spans="1:2" x14ac:dyDescent="0.4">
      <c r="A217" s="9" t="s">
        <v>37</v>
      </c>
      <c r="B217" s="25">
        <f>B1</f>
        <v>45986</v>
      </c>
    </row>
    <row r="218" spans="1:2" x14ac:dyDescent="0.4">
      <c r="A218" s="10" t="s">
        <v>1</v>
      </c>
      <c r="B218" s="6">
        <f>'DAY1'!$E148</f>
        <v>1</v>
      </c>
    </row>
    <row r="219" spans="1:2" x14ac:dyDescent="0.4">
      <c r="A219" s="10" t="s">
        <v>2</v>
      </c>
      <c r="B219" s="6">
        <f>'DAY1'!$E149</f>
        <v>0</v>
      </c>
    </row>
    <row r="220" spans="1:2" x14ac:dyDescent="0.4">
      <c r="A220" s="10" t="s">
        <v>3</v>
      </c>
      <c r="B220" s="6">
        <f>'DAY1'!$E150</f>
        <v>0</v>
      </c>
    </row>
    <row r="221" spans="1:2" x14ac:dyDescent="0.4">
      <c r="A221" s="10" t="s">
        <v>4</v>
      </c>
      <c r="B221" s="6">
        <f>'DAY1'!$E151</f>
        <v>1</v>
      </c>
    </row>
    <row r="222" spans="1:2" x14ac:dyDescent="0.4">
      <c r="A222" s="10" t="s">
        <v>5</v>
      </c>
      <c r="B222" s="6">
        <f>'DAY1'!$E152</f>
        <v>0</v>
      </c>
    </row>
    <row r="223" spans="1:2" x14ac:dyDescent="0.4">
      <c r="A223" s="10" t="s">
        <v>6</v>
      </c>
      <c r="B223" s="6">
        <f>'DAY1'!$E153</f>
        <v>0</v>
      </c>
    </row>
    <row r="224" spans="1:2" x14ac:dyDescent="0.4">
      <c r="A224" s="10" t="s">
        <v>7</v>
      </c>
      <c r="B224" s="6">
        <f>'DAY1'!$E154</f>
        <v>0</v>
      </c>
    </row>
    <row r="225" spans="1:2" x14ac:dyDescent="0.4">
      <c r="A225" s="10" t="s">
        <v>8</v>
      </c>
      <c r="B225" s="6">
        <f>'DAY1'!$E155</f>
        <v>3</v>
      </c>
    </row>
    <row r="226" spans="1:2" x14ac:dyDescent="0.4">
      <c r="A226" s="10" t="s">
        <v>9</v>
      </c>
      <c r="B226" s="6">
        <f>'DAY1'!$E156</f>
        <v>1</v>
      </c>
    </row>
    <row r="227" spans="1:2" x14ac:dyDescent="0.4">
      <c r="A227" s="10" t="s">
        <v>10</v>
      </c>
      <c r="B227" s="6">
        <f>'DAY1'!$E157</f>
        <v>2</v>
      </c>
    </row>
    <row r="228" spans="1:2" x14ac:dyDescent="0.4">
      <c r="A228" s="10" t="s">
        <v>11</v>
      </c>
      <c r="B228" s="6">
        <f>'DAY1'!$E158</f>
        <v>1</v>
      </c>
    </row>
    <row r="229" spans="1:2" x14ac:dyDescent="0.4">
      <c r="A229" s="10" t="s">
        <v>12</v>
      </c>
      <c r="B229" s="6">
        <f>'DAY1'!$E159</f>
        <v>3</v>
      </c>
    </row>
    <row r="230" spans="1:2" x14ac:dyDescent="0.4">
      <c r="A230" s="11" t="s">
        <v>13</v>
      </c>
      <c r="B230" s="7">
        <f>SUM(B218:B229)</f>
        <v>12</v>
      </c>
    </row>
    <row r="231" spans="1:2" x14ac:dyDescent="0.4">
      <c r="A231" s="10" t="s">
        <v>14</v>
      </c>
      <c r="B231" s="6">
        <f>'DAY1'!$E160</f>
        <v>3</v>
      </c>
    </row>
    <row r="232" spans="1:2" x14ac:dyDescent="0.4">
      <c r="A232" s="10" t="s">
        <v>15</v>
      </c>
      <c r="B232" s="6">
        <f>'DAY1'!$E161</f>
        <v>0</v>
      </c>
    </row>
    <row r="233" spans="1:2" x14ac:dyDescent="0.4">
      <c r="A233" s="10" t="s">
        <v>16</v>
      </c>
      <c r="B233" s="6">
        <f>'DAY1'!$E162</f>
        <v>1</v>
      </c>
    </row>
    <row r="234" spans="1:2" x14ac:dyDescent="0.4">
      <c r="A234" s="10" t="s">
        <v>17</v>
      </c>
      <c r="B234" s="6">
        <f>'DAY1'!$E163</f>
        <v>0</v>
      </c>
    </row>
    <row r="235" spans="1:2" x14ac:dyDescent="0.4">
      <c r="A235" s="10" t="s">
        <v>18</v>
      </c>
      <c r="B235" s="6">
        <f>'DAY1'!$E164</f>
        <v>0</v>
      </c>
    </row>
    <row r="236" spans="1:2" x14ac:dyDescent="0.4">
      <c r="A236" s="10" t="s">
        <v>19</v>
      </c>
      <c r="B236" s="6">
        <f>'DAY1'!$E165</f>
        <v>2</v>
      </c>
    </row>
    <row r="237" spans="1:2" x14ac:dyDescent="0.4">
      <c r="A237" s="10" t="s">
        <v>20</v>
      </c>
      <c r="B237" s="6">
        <f>'DAY1'!$E166</f>
        <v>1</v>
      </c>
    </row>
    <row r="238" spans="1:2" x14ac:dyDescent="0.4">
      <c r="A238" s="10" t="s">
        <v>21</v>
      </c>
      <c r="B238" s="6">
        <f>'DAY1'!$E167</f>
        <v>0</v>
      </c>
    </row>
    <row r="239" spans="1:2" x14ac:dyDescent="0.4">
      <c r="A239" s="10" t="s">
        <v>22</v>
      </c>
      <c r="B239" s="6">
        <f>'DAY1'!$E168</f>
        <v>0</v>
      </c>
    </row>
    <row r="240" spans="1:2" x14ac:dyDescent="0.4">
      <c r="A240" s="11" t="s">
        <v>23</v>
      </c>
      <c r="B240" s="7">
        <f>SUM(B231:B239)</f>
        <v>7</v>
      </c>
    </row>
    <row r="241" spans="1:2" x14ac:dyDescent="0.4">
      <c r="A241" s="12" t="s">
        <v>24</v>
      </c>
      <c r="B241" s="8">
        <f>B230+B240</f>
        <v>19</v>
      </c>
    </row>
    <row r="242" spans="1:2" x14ac:dyDescent="0.4">
      <c r="A242" s="10"/>
    </row>
    <row r="243" spans="1:2" x14ac:dyDescent="0.4">
      <c r="A243" s="22"/>
      <c r="B243" s="20"/>
    </row>
    <row r="244" spans="1:2" x14ac:dyDescent="0.4">
      <c r="A244" s="2" t="s">
        <v>41</v>
      </c>
      <c r="B244" s="25">
        <f>日統計模板!B271</f>
        <v>45986</v>
      </c>
    </row>
    <row r="245" spans="1:2" x14ac:dyDescent="0.4">
      <c r="A245" s="3" t="s">
        <v>1</v>
      </c>
      <c r="B245" s="6">
        <f>'DAY1'!I148</f>
        <v>1</v>
      </c>
    </row>
    <row r="246" spans="1:2" x14ac:dyDescent="0.4">
      <c r="A246" s="3" t="s">
        <v>2</v>
      </c>
      <c r="B246" s="6">
        <f>'DAY1'!I149</f>
        <v>2</v>
      </c>
    </row>
    <row r="247" spans="1:2" x14ac:dyDescent="0.4">
      <c r="A247" s="3" t="s">
        <v>3</v>
      </c>
      <c r="B247" s="6">
        <f>'DAY1'!I150</f>
        <v>0</v>
      </c>
    </row>
    <row r="248" spans="1:2" x14ac:dyDescent="0.4">
      <c r="A248" s="3" t="s">
        <v>4</v>
      </c>
      <c r="B248" s="6">
        <f>'DAY1'!I151</f>
        <v>1</v>
      </c>
    </row>
    <row r="249" spans="1:2" x14ac:dyDescent="0.4">
      <c r="A249" s="3" t="s">
        <v>5</v>
      </c>
      <c r="B249" s="6">
        <f>'DAY1'!I152</f>
        <v>4</v>
      </c>
    </row>
    <row r="250" spans="1:2" x14ac:dyDescent="0.4">
      <c r="A250" s="3" t="s">
        <v>6</v>
      </c>
      <c r="B250" s="6">
        <f>'DAY1'!I153</f>
        <v>3</v>
      </c>
    </row>
    <row r="251" spans="1:2" x14ac:dyDescent="0.4">
      <c r="A251" s="3" t="s">
        <v>7</v>
      </c>
      <c r="B251" s="6">
        <f>'DAY1'!I154</f>
        <v>3</v>
      </c>
    </row>
    <row r="252" spans="1:2" x14ac:dyDescent="0.4">
      <c r="A252" s="3" t="s">
        <v>8</v>
      </c>
      <c r="B252" s="6">
        <f>'DAY1'!I155</f>
        <v>6</v>
      </c>
    </row>
    <row r="253" spans="1:2" x14ac:dyDescent="0.4">
      <c r="A253" s="3" t="s">
        <v>9</v>
      </c>
      <c r="B253" s="6">
        <f>'DAY1'!I156</f>
        <v>3</v>
      </c>
    </row>
    <row r="254" spans="1:2" x14ac:dyDescent="0.4">
      <c r="A254" s="3" t="s">
        <v>10</v>
      </c>
      <c r="B254" s="6">
        <f>'DAY1'!I157</f>
        <v>1</v>
      </c>
    </row>
    <row r="255" spans="1:2" x14ac:dyDescent="0.4">
      <c r="A255" s="3" t="s">
        <v>11</v>
      </c>
      <c r="B255" s="6">
        <f>'DAY1'!I158</f>
        <v>0</v>
      </c>
    </row>
    <row r="256" spans="1:2" x14ac:dyDescent="0.4">
      <c r="A256" s="3" t="s">
        <v>12</v>
      </c>
      <c r="B256" s="6">
        <f>'DAY1'!I159</f>
        <v>2</v>
      </c>
    </row>
    <row r="257" spans="1:2" x14ac:dyDescent="0.4">
      <c r="A257" s="4" t="s">
        <v>25</v>
      </c>
      <c r="B257" s="7">
        <f>SUM(B245:B256)</f>
        <v>26</v>
      </c>
    </row>
    <row r="258" spans="1:2" x14ac:dyDescent="0.4">
      <c r="A258" s="3" t="s">
        <v>14</v>
      </c>
      <c r="B258" s="6">
        <f>'DAY1'!I160</f>
        <v>6</v>
      </c>
    </row>
    <row r="259" spans="1:2" x14ac:dyDescent="0.4">
      <c r="A259" s="3" t="s">
        <v>15</v>
      </c>
      <c r="B259" s="6">
        <f>'DAY1'!I161</f>
        <v>2</v>
      </c>
    </row>
    <row r="260" spans="1:2" x14ac:dyDescent="0.4">
      <c r="A260" s="3" t="s">
        <v>16</v>
      </c>
      <c r="B260" s="6">
        <f>'DAY1'!I162</f>
        <v>3</v>
      </c>
    </row>
    <row r="261" spans="1:2" x14ac:dyDescent="0.4">
      <c r="A261" s="3" t="s">
        <v>17</v>
      </c>
      <c r="B261" s="6">
        <f>'DAY1'!I163</f>
        <v>2</v>
      </c>
    </row>
    <row r="262" spans="1:2" x14ac:dyDescent="0.4">
      <c r="A262" s="3" t="s">
        <v>18</v>
      </c>
      <c r="B262" s="6">
        <f>'DAY1'!I164</f>
        <v>1</v>
      </c>
    </row>
    <row r="263" spans="1:2" x14ac:dyDescent="0.4">
      <c r="A263" s="3" t="s">
        <v>19</v>
      </c>
      <c r="B263" s="6">
        <f>'DAY1'!I165</f>
        <v>5</v>
      </c>
    </row>
    <row r="264" spans="1:2" x14ac:dyDescent="0.4">
      <c r="A264" s="3" t="s">
        <v>20</v>
      </c>
      <c r="B264" s="6">
        <f>'DAY1'!I166</f>
        <v>7</v>
      </c>
    </row>
    <row r="265" spans="1:2" x14ac:dyDescent="0.4">
      <c r="A265" s="3" t="s">
        <v>21</v>
      </c>
      <c r="B265" s="6">
        <f>'DAY1'!I167</f>
        <v>6</v>
      </c>
    </row>
    <row r="266" spans="1:2" x14ac:dyDescent="0.4">
      <c r="A266" s="3" t="s">
        <v>22</v>
      </c>
      <c r="B266" s="6">
        <f>'DAY1'!I168</f>
        <v>2</v>
      </c>
    </row>
    <row r="267" spans="1:2" x14ac:dyDescent="0.4">
      <c r="A267" s="4" t="s">
        <v>23</v>
      </c>
      <c r="B267" s="7">
        <f>SUM(B258:B266)</f>
        <v>34</v>
      </c>
    </row>
    <row r="268" spans="1:2" x14ac:dyDescent="0.4">
      <c r="A268" s="5" t="s">
        <v>26</v>
      </c>
      <c r="B268" s="8">
        <f>B257+B267</f>
        <v>60</v>
      </c>
    </row>
    <row r="271" spans="1:2" x14ac:dyDescent="0.4">
      <c r="A271" s="2" t="s">
        <v>38</v>
      </c>
      <c r="B271" s="25">
        <f t="shared" ref="B271" si="0">B28</f>
        <v>45986</v>
      </c>
    </row>
    <row r="272" spans="1:2" x14ac:dyDescent="0.4">
      <c r="A272" s="3" t="s">
        <v>1</v>
      </c>
      <c r="B272" s="6">
        <f>'DAY1'!$G148</f>
        <v>1</v>
      </c>
    </row>
    <row r="273" spans="1:2" x14ac:dyDescent="0.4">
      <c r="A273" s="3" t="s">
        <v>2</v>
      </c>
      <c r="B273" s="6">
        <f>'DAY1'!$G149</f>
        <v>1</v>
      </c>
    </row>
    <row r="274" spans="1:2" x14ac:dyDescent="0.4">
      <c r="A274" s="3" t="s">
        <v>3</v>
      </c>
      <c r="B274" s="6">
        <f>'DAY1'!$G150</f>
        <v>1</v>
      </c>
    </row>
    <row r="275" spans="1:2" x14ac:dyDescent="0.4">
      <c r="A275" s="3" t="s">
        <v>4</v>
      </c>
      <c r="B275" s="6">
        <f>'DAY1'!$G151</f>
        <v>2</v>
      </c>
    </row>
    <row r="276" spans="1:2" x14ac:dyDescent="0.4">
      <c r="A276" s="3" t="s">
        <v>5</v>
      </c>
      <c r="B276" s="6">
        <f>'DAY1'!$G152</f>
        <v>7</v>
      </c>
    </row>
    <row r="277" spans="1:2" x14ac:dyDescent="0.4">
      <c r="A277" s="3" t="s">
        <v>6</v>
      </c>
      <c r="B277" s="6">
        <f>'DAY1'!$G153</f>
        <v>2</v>
      </c>
    </row>
    <row r="278" spans="1:2" x14ac:dyDescent="0.4">
      <c r="A278" s="3" t="s">
        <v>7</v>
      </c>
      <c r="B278" s="6">
        <f>'DAY1'!$G154</f>
        <v>5</v>
      </c>
    </row>
    <row r="279" spans="1:2" x14ac:dyDescent="0.4">
      <c r="A279" s="3" t="s">
        <v>8</v>
      </c>
      <c r="B279" s="6">
        <f>'DAY1'!$G155</f>
        <v>2</v>
      </c>
    </row>
    <row r="280" spans="1:2" x14ac:dyDescent="0.4">
      <c r="A280" s="3" t="s">
        <v>9</v>
      </c>
      <c r="B280" s="6">
        <f>'DAY1'!$G156</f>
        <v>5</v>
      </c>
    </row>
    <row r="281" spans="1:2" x14ac:dyDescent="0.4">
      <c r="A281" s="3" t="s">
        <v>10</v>
      </c>
      <c r="B281" s="6">
        <f>'DAY1'!$G157</f>
        <v>1</v>
      </c>
    </row>
    <row r="282" spans="1:2" x14ac:dyDescent="0.4">
      <c r="A282" s="3" t="s">
        <v>11</v>
      </c>
      <c r="B282" s="6">
        <f>'DAY1'!$G158</f>
        <v>6</v>
      </c>
    </row>
    <row r="283" spans="1:2" x14ac:dyDescent="0.4">
      <c r="A283" s="3" t="s">
        <v>12</v>
      </c>
      <c r="B283" s="6">
        <f>'DAY1'!$G159</f>
        <v>0</v>
      </c>
    </row>
    <row r="284" spans="1:2" x14ac:dyDescent="0.4">
      <c r="A284" s="4" t="s">
        <v>25</v>
      </c>
      <c r="B284" s="7">
        <f>SUM(B272:B283)</f>
        <v>33</v>
      </c>
    </row>
    <row r="285" spans="1:2" x14ac:dyDescent="0.4">
      <c r="A285" s="3" t="s">
        <v>14</v>
      </c>
      <c r="B285" s="6">
        <f>'DAY1'!$G160</f>
        <v>6</v>
      </c>
    </row>
    <row r="286" spans="1:2" x14ac:dyDescent="0.4">
      <c r="A286" s="3" t="s">
        <v>15</v>
      </c>
      <c r="B286" s="6">
        <f>'DAY1'!$G161</f>
        <v>3</v>
      </c>
    </row>
    <row r="287" spans="1:2" x14ac:dyDescent="0.4">
      <c r="A287" s="3" t="s">
        <v>16</v>
      </c>
      <c r="B287" s="6">
        <f>'DAY1'!$G162</f>
        <v>2</v>
      </c>
    </row>
    <row r="288" spans="1:2" x14ac:dyDescent="0.4">
      <c r="A288" s="3" t="s">
        <v>17</v>
      </c>
      <c r="B288" s="6">
        <f>'DAY1'!$G163</f>
        <v>1</v>
      </c>
    </row>
    <row r="289" spans="1:2" x14ac:dyDescent="0.4">
      <c r="A289" s="3" t="s">
        <v>18</v>
      </c>
      <c r="B289" s="6">
        <f>'DAY1'!$G164</f>
        <v>5</v>
      </c>
    </row>
    <row r="290" spans="1:2" x14ac:dyDescent="0.4">
      <c r="A290" s="3" t="s">
        <v>19</v>
      </c>
      <c r="B290" s="6">
        <f>'DAY1'!$G165</f>
        <v>8</v>
      </c>
    </row>
    <row r="291" spans="1:2" x14ac:dyDescent="0.4">
      <c r="A291" s="3" t="s">
        <v>20</v>
      </c>
      <c r="B291" s="6">
        <f>'DAY1'!$G166</f>
        <v>12</v>
      </c>
    </row>
    <row r="292" spans="1:2" x14ac:dyDescent="0.4">
      <c r="A292" s="3" t="s">
        <v>21</v>
      </c>
      <c r="B292" s="6">
        <f>'DAY1'!$G167</f>
        <v>4</v>
      </c>
    </row>
    <row r="293" spans="1:2" x14ac:dyDescent="0.4">
      <c r="A293" s="3" t="s">
        <v>22</v>
      </c>
      <c r="B293" s="6">
        <f>'DAY1'!$G168</f>
        <v>1</v>
      </c>
    </row>
    <row r="294" spans="1:2" x14ac:dyDescent="0.4">
      <c r="A294" s="4" t="s">
        <v>23</v>
      </c>
      <c r="B294" s="7">
        <f>SUM(B285:B293)</f>
        <v>42</v>
      </c>
    </row>
    <row r="295" spans="1:2" x14ac:dyDescent="0.4">
      <c r="A295" s="5" t="s">
        <v>26</v>
      </c>
      <c r="B295" s="8">
        <f>B284+B294</f>
        <v>75</v>
      </c>
    </row>
    <row r="298" spans="1:2" x14ac:dyDescent="0.4">
      <c r="A298" s="2" t="s">
        <v>39</v>
      </c>
      <c r="B298" s="25">
        <f t="shared" ref="B298" si="1">B1</f>
        <v>45986</v>
      </c>
    </row>
    <row r="299" spans="1:2" x14ac:dyDescent="0.4">
      <c r="A299" s="3" t="s">
        <v>1</v>
      </c>
      <c r="B299" s="6">
        <f>'DAY1'!$F148</f>
        <v>0</v>
      </c>
    </row>
    <row r="300" spans="1:2" x14ac:dyDescent="0.4">
      <c r="A300" s="3" t="s">
        <v>2</v>
      </c>
      <c r="B300" s="6">
        <f>'DAY1'!$F149</f>
        <v>0</v>
      </c>
    </row>
    <row r="301" spans="1:2" x14ac:dyDescent="0.4">
      <c r="A301" s="3" t="s">
        <v>3</v>
      </c>
      <c r="B301" s="6">
        <f>'DAY1'!$F150</f>
        <v>0</v>
      </c>
    </row>
    <row r="302" spans="1:2" x14ac:dyDescent="0.4">
      <c r="A302" s="3" t="s">
        <v>4</v>
      </c>
      <c r="B302" s="6">
        <f>'DAY1'!$F151</f>
        <v>0</v>
      </c>
    </row>
    <row r="303" spans="1:2" x14ac:dyDescent="0.4">
      <c r="A303" s="3" t="s">
        <v>5</v>
      </c>
      <c r="B303" s="6">
        <f>'DAY1'!$F152</f>
        <v>1</v>
      </c>
    </row>
    <row r="304" spans="1:2" x14ac:dyDescent="0.4">
      <c r="A304" s="3" t="s">
        <v>6</v>
      </c>
      <c r="B304" s="6">
        <f>'DAY1'!$F153</f>
        <v>0</v>
      </c>
    </row>
    <row r="305" spans="1:2" x14ac:dyDescent="0.4">
      <c r="A305" s="3" t="s">
        <v>7</v>
      </c>
      <c r="B305" s="6">
        <f>'DAY1'!$F154</f>
        <v>0</v>
      </c>
    </row>
    <row r="306" spans="1:2" x14ac:dyDescent="0.4">
      <c r="A306" s="3" t="s">
        <v>8</v>
      </c>
      <c r="B306" s="6">
        <f>'DAY1'!$F155</f>
        <v>0</v>
      </c>
    </row>
    <row r="307" spans="1:2" x14ac:dyDescent="0.4">
      <c r="A307" s="3" t="s">
        <v>9</v>
      </c>
      <c r="B307" s="6">
        <f>'DAY1'!$F156</f>
        <v>0</v>
      </c>
    </row>
    <row r="308" spans="1:2" x14ac:dyDescent="0.4">
      <c r="A308" s="3" t="s">
        <v>10</v>
      </c>
      <c r="B308" s="6">
        <f>'DAY1'!$F157</f>
        <v>1</v>
      </c>
    </row>
    <row r="309" spans="1:2" x14ac:dyDescent="0.4">
      <c r="A309" s="3" t="s">
        <v>11</v>
      </c>
      <c r="B309" s="6">
        <f>'DAY1'!$F158</f>
        <v>0</v>
      </c>
    </row>
    <row r="310" spans="1:2" x14ac:dyDescent="0.4">
      <c r="A310" s="3" t="s">
        <v>12</v>
      </c>
      <c r="B310" s="6">
        <f>'DAY1'!$F159</f>
        <v>0</v>
      </c>
    </row>
    <row r="311" spans="1:2" x14ac:dyDescent="0.4">
      <c r="A311" s="4" t="s">
        <v>13</v>
      </c>
      <c r="B311" s="7">
        <f>SUM(B299:B310)</f>
        <v>2</v>
      </c>
    </row>
    <row r="312" spans="1:2" x14ac:dyDescent="0.4">
      <c r="A312" s="3" t="s">
        <v>14</v>
      </c>
      <c r="B312" s="6">
        <f>'DAY1'!$F160</f>
        <v>0</v>
      </c>
    </row>
    <row r="313" spans="1:2" x14ac:dyDescent="0.4">
      <c r="A313" s="3" t="s">
        <v>15</v>
      </c>
      <c r="B313" s="6">
        <f>'DAY1'!$F161</f>
        <v>1</v>
      </c>
    </row>
    <row r="314" spans="1:2" x14ac:dyDescent="0.4">
      <c r="A314" s="3" t="s">
        <v>16</v>
      </c>
      <c r="B314" s="6">
        <f>'DAY1'!$F162</f>
        <v>0</v>
      </c>
    </row>
    <row r="315" spans="1:2" x14ac:dyDescent="0.4">
      <c r="A315" s="3" t="s">
        <v>17</v>
      </c>
      <c r="B315" s="6">
        <f>'DAY1'!$F163</f>
        <v>1</v>
      </c>
    </row>
    <row r="316" spans="1:2" x14ac:dyDescent="0.4">
      <c r="A316" s="3" t="s">
        <v>18</v>
      </c>
      <c r="B316" s="6">
        <f>'DAY1'!$F164</f>
        <v>0</v>
      </c>
    </row>
    <row r="317" spans="1:2" x14ac:dyDescent="0.4">
      <c r="A317" s="3" t="s">
        <v>19</v>
      </c>
      <c r="B317" s="6">
        <f>'DAY1'!$F165</f>
        <v>0</v>
      </c>
    </row>
    <row r="318" spans="1:2" x14ac:dyDescent="0.4">
      <c r="A318" s="3" t="s">
        <v>20</v>
      </c>
      <c r="B318" s="6">
        <f>'DAY1'!$F166</f>
        <v>0</v>
      </c>
    </row>
    <row r="319" spans="1:2" x14ac:dyDescent="0.4">
      <c r="A319" s="3" t="s">
        <v>21</v>
      </c>
      <c r="B319" s="6">
        <f>'DAY1'!$F167</f>
        <v>0</v>
      </c>
    </row>
    <row r="320" spans="1:2" x14ac:dyDescent="0.4">
      <c r="A320" s="3" t="s">
        <v>22</v>
      </c>
      <c r="B320" s="6">
        <f>'DAY1'!$F168</f>
        <v>0</v>
      </c>
    </row>
    <row r="321" spans="1:2" x14ac:dyDescent="0.4">
      <c r="A321" s="4" t="s">
        <v>23</v>
      </c>
      <c r="B321" s="7">
        <f>SUM(B312:B320)</f>
        <v>2</v>
      </c>
    </row>
    <row r="322" spans="1:2" x14ac:dyDescent="0.4">
      <c r="A322" s="5" t="s">
        <v>24</v>
      </c>
      <c r="B322" s="8">
        <f>B311+B321</f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K280"/>
  <sheetViews>
    <sheetView tabSelected="1" topLeftCell="A18" workbookViewId="0">
      <selection activeCell="J7" sqref="J7:J30"/>
    </sheetView>
  </sheetViews>
  <sheetFormatPr defaultRowHeight="17" x14ac:dyDescent="0.4"/>
  <cols>
    <col min="1" max="1" width="18.08984375" customWidth="1"/>
  </cols>
  <sheetData>
    <row r="4" spans="1:11" x14ac:dyDescent="0.4">
      <c r="A4" s="1" t="s">
        <v>78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4">
      <c r="A5" s="1" t="s">
        <v>42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4">
      <c r="A6" s="1" t="s">
        <v>43</v>
      </c>
      <c r="B6" s="1" t="s">
        <v>44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51</v>
      </c>
      <c r="J6" s="1" t="s">
        <v>52</v>
      </c>
      <c r="K6" s="1" t="s">
        <v>53</v>
      </c>
    </row>
    <row r="7" spans="1:11" x14ac:dyDescent="0.4">
      <c r="A7" s="1">
        <v>1</v>
      </c>
      <c r="B7" s="1" t="s">
        <v>54</v>
      </c>
      <c r="C7" s="1" t="s">
        <v>55</v>
      </c>
      <c r="D7" s="1">
        <v>13</v>
      </c>
      <c r="E7" s="1">
        <v>19</v>
      </c>
      <c r="F7" s="1">
        <v>2</v>
      </c>
      <c r="G7" s="1">
        <v>32</v>
      </c>
      <c r="H7" s="1">
        <v>-15</v>
      </c>
      <c r="I7" s="1">
        <v>103579</v>
      </c>
      <c r="J7" s="18">
        <v>191</v>
      </c>
      <c r="K7" s="1">
        <v>23</v>
      </c>
    </row>
    <row r="8" spans="1:11" x14ac:dyDescent="0.4">
      <c r="A8" s="1">
        <v>1</v>
      </c>
      <c r="B8" s="1" t="s">
        <v>54</v>
      </c>
      <c r="C8" s="1" t="s">
        <v>56</v>
      </c>
      <c r="D8" s="1">
        <v>15</v>
      </c>
      <c r="E8" s="1">
        <v>8</v>
      </c>
      <c r="F8" s="1">
        <v>0</v>
      </c>
      <c r="G8" s="1">
        <v>13</v>
      </c>
      <c r="H8" s="1">
        <v>-3</v>
      </c>
      <c r="I8" s="1">
        <v>55758</v>
      </c>
      <c r="J8" s="18">
        <v>101</v>
      </c>
      <c r="K8" s="1">
        <v>17</v>
      </c>
    </row>
    <row r="9" spans="1:11" x14ac:dyDescent="0.4">
      <c r="A9" s="1">
        <v>1</v>
      </c>
      <c r="B9" s="1" t="s">
        <v>54</v>
      </c>
      <c r="C9" s="1" t="s">
        <v>57</v>
      </c>
      <c r="D9" s="1">
        <v>9</v>
      </c>
      <c r="E9" s="1">
        <v>17</v>
      </c>
      <c r="F9" s="1">
        <v>2</v>
      </c>
      <c r="G9" s="1">
        <v>17</v>
      </c>
      <c r="H9" s="1">
        <v>0</v>
      </c>
      <c r="I9" s="1">
        <v>48476</v>
      </c>
      <c r="J9" s="18">
        <v>91</v>
      </c>
      <c r="K9" s="1">
        <v>26</v>
      </c>
    </row>
    <row r="10" spans="1:11" x14ac:dyDescent="0.4">
      <c r="A10" s="1">
        <v>1</v>
      </c>
      <c r="B10" s="1" t="s">
        <v>54</v>
      </c>
      <c r="C10" s="1" t="s">
        <v>58</v>
      </c>
      <c r="D10" s="1">
        <v>16</v>
      </c>
      <c r="E10" s="1">
        <v>15</v>
      </c>
      <c r="F10" s="1">
        <v>1</v>
      </c>
      <c r="G10" s="1">
        <v>17</v>
      </c>
      <c r="H10" s="1">
        <v>-4</v>
      </c>
      <c r="I10" s="1">
        <v>62182</v>
      </c>
      <c r="J10" s="18">
        <v>115</v>
      </c>
      <c r="K10" s="1">
        <v>12</v>
      </c>
    </row>
    <row r="11" spans="1:11" x14ac:dyDescent="0.4">
      <c r="A11" s="1">
        <v>2</v>
      </c>
      <c r="B11" s="1" t="s">
        <v>59</v>
      </c>
      <c r="C11" s="1" t="s">
        <v>55</v>
      </c>
      <c r="D11" s="1">
        <v>30</v>
      </c>
      <c r="E11" s="1">
        <v>29</v>
      </c>
      <c r="F11" s="1">
        <v>8</v>
      </c>
      <c r="G11" s="1">
        <v>40</v>
      </c>
      <c r="H11" s="1">
        <v>-15</v>
      </c>
      <c r="I11" s="1">
        <v>150221</v>
      </c>
      <c r="J11" s="18">
        <v>256</v>
      </c>
      <c r="K11" s="1">
        <v>46</v>
      </c>
    </row>
    <row r="12" spans="1:11" x14ac:dyDescent="0.4">
      <c r="A12" s="1">
        <v>2</v>
      </c>
      <c r="B12" s="1" t="s">
        <v>59</v>
      </c>
      <c r="C12" s="1" t="s">
        <v>56</v>
      </c>
      <c r="D12" s="1">
        <v>23</v>
      </c>
      <c r="E12" s="1">
        <v>22</v>
      </c>
      <c r="F12" s="1">
        <v>7</v>
      </c>
      <c r="G12" s="1">
        <v>12</v>
      </c>
      <c r="H12" s="1">
        <v>11</v>
      </c>
      <c r="I12" s="1">
        <v>107816</v>
      </c>
      <c r="J12" s="18">
        <v>144</v>
      </c>
      <c r="K12" s="1">
        <v>34</v>
      </c>
    </row>
    <row r="13" spans="1:11" x14ac:dyDescent="0.4">
      <c r="A13" s="1">
        <v>3</v>
      </c>
      <c r="B13" s="1" t="s">
        <v>7</v>
      </c>
      <c r="C13" s="1"/>
      <c r="D13" s="1">
        <v>5</v>
      </c>
      <c r="E13" s="1">
        <v>10</v>
      </c>
      <c r="F13" s="1">
        <v>3</v>
      </c>
      <c r="G13" s="1">
        <v>29</v>
      </c>
      <c r="H13" s="1">
        <v>-19</v>
      </c>
      <c r="I13" s="1">
        <v>64655</v>
      </c>
      <c r="J13" s="18">
        <v>71</v>
      </c>
      <c r="K13" s="1">
        <v>18</v>
      </c>
    </row>
    <row r="14" spans="1:11" x14ac:dyDescent="0.4">
      <c r="A14" s="1">
        <v>4</v>
      </c>
      <c r="B14" s="1" t="s">
        <v>8</v>
      </c>
      <c r="C14" s="1"/>
      <c r="D14" s="1">
        <v>57</v>
      </c>
      <c r="E14" s="1">
        <v>35</v>
      </c>
      <c r="F14" s="1">
        <v>9</v>
      </c>
      <c r="G14" s="1">
        <v>52</v>
      </c>
      <c r="H14" s="1">
        <v>-23</v>
      </c>
      <c r="I14" s="1">
        <v>196222</v>
      </c>
      <c r="J14" s="18">
        <v>309</v>
      </c>
      <c r="K14" s="1">
        <v>81</v>
      </c>
    </row>
    <row r="15" spans="1:11" x14ac:dyDescent="0.4">
      <c r="A15" s="1">
        <v>5</v>
      </c>
      <c r="B15" s="1" t="s">
        <v>9</v>
      </c>
      <c r="C15" s="1"/>
      <c r="D15" s="1">
        <v>17</v>
      </c>
      <c r="E15" s="1">
        <v>24</v>
      </c>
      <c r="F15" s="1">
        <v>0</v>
      </c>
      <c r="G15" s="1">
        <v>15</v>
      </c>
      <c r="H15" s="1">
        <v>10</v>
      </c>
      <c r="I15" s="1">
        <v>105597</v>
      </c>
      <c r="J15" s="18">
        <v>259</v>
      </c>
      <c r="K15" s="1">
        <v>28</v>
      </c>
    </row>
    <row r="16" spans="1:11" x14ac:dyDescent="0.4">
      <c r="A16" s="1">
        <v>6</v>
      </c>
      <c r="B16" s="1" t="s">
        <v>10</v>
      </c>
      <c r="C16" s="1"/>
      <c r="D16" s="1">
        <v>5</v>
      </c>
      <c r="E16" s="1">
        <v>5</v>
      </c>
      <c r="F16" s="1">
        <v>1</v>
      </c>
      <c r="G16" s="1">
        <v>23</v>
      </c>
      <c r="H16" s="1">
        <v>-18</v>
      </c>
      <c r="I16" s="1">
        <v>51808</v>
      </c>
      <c r="J16" s="18">
        <v>87</v>
      </c>
      <c r="K16" s="1">
        <v>14</v>
      </c>
    </row>
    <row r="17" spans="1:11" x14ac:dyDescent="0.4">
      <c r="A17" s="1">
        <v>7</v>
      </c>
      <c r="B17" s="1" t="s">
        <v>11</v>
      </c>
      <c r="C17" s="1"/>
      <c r="D17" s="1">
        <v>10</v>
      </c>
      <c r="E17" s="1">
        <v>10</v>
      </c>
      <c r="F17" s="1">
        <v>1</v>
      </c>
      <c r="G17" s="1">
        <v>19</v>
      </c>
      <c r="H17" s="1">
        <v>-9</v>
      </c>
      <c r="I17" s="1">
        <v>45536</v>
      </c>
      <c r="J17" s="18">
        <v>43</v>
      </c>
      <c r="K17" s="1">
        <v>8</v>
      </c>
    </row>
    <row r="18" spans="1:11" x14ac:dyDescent="0.4">
      <c r="A18" s="1">
        <v>8</v>
      </c>
      <c r="B18" s="1" t="s">
        <v>12</v>
      </c>
      <c r="C18" s="1"/>
      <c r="D18" s="1">
        <v>7</v>
      </c>
      <c r="E18" s="1">
        <v>9</v>
      </c>
      <c r="F18" s="1">
        <v>0</v>
      </c>
      <c r="G18" s="1">
        <v>6</v>
      </c>
      <c r="H18" s="1">
        <v>3</v>
      </c>
      <c r="I18" s="1">
        <v>32309</v>
      </c>
      <c r="J18" s="18">
        <v>52</v>
      </c>
      <c r="K18" s="1">
        <v>5</v>
      </c>
    </row>
    <row r="19" spans="1:11" x14ac:dyDescent="0.4">
      <c r="A19" s="1"/>
      <c r="B19" s="1" t="s">
        <v>25</v>
      </c>
      <c r="C19" s="1" t="s">
        <v>60</v>
      </c>
      <c r="D19" s="1">
        <v>207</v>
      </c>
      <c r="E19" s="1">
        <v>203</v>
      </c>
      <c r="F19" s="1">
        <v>34</v>
      </c>
      <c r="G19" s="1">
        <v>275</v>
      </c>
      <c r="H19" s="1">
        <v>-82</v>
      </c>
      <c r="I19" s="1">
        <v>1024159</v>
      </c>
      <c r="J19" s="18">
        <v>1719</v>
      </c>
      <c r="K19" s="1">
        <v>312</v>
      </c>
    </row>
    <row r="20" spans="1:11" x14ac:dyDescent="0.4">
      <c r="A20" s="1">
        <v>10</v>
      </c>
      <c r="B20" s="1" t="s">
        <v>14</v>
      </c>
      <c r="C20" s="1"/>
      <c r="D20" s="1">
        <v>46</v>
      </c>
      <c r="E20" s="1">
        <v>51</v>
      </c>
      <c r="F20" s="1">
        <v>1</v>
      </c>
      <c r="G20" s="1">
        <v>71</v>
      </c>
      <c r="H20" s="1">
        <v>-20</v>
      </c>
      <c r="I20" s="1">
        <v>252178</v>
      </c>
      <c r="J20" s="18">
        <v>428</v>
      </c>
      <c r="K20" s="1">
        <v>55</v>
      </c>
    </row>
    <row r="21" spans="1:11" x14ac:dyDescent="0.4">
      <c r="A21" s="1">
        <v>11</v>
      </c>
      <c r="B21" s="1" t="s">
        <v>15</v>
      </c>
      <c r="C21" s="1"/>
      <c r="D21" s="1">
        <v>17</v>
      </c>
      <c r="E21" s="1">
        <v>14</v>
      </c>
      <c r="F21" s="1">
        <v>2</v>
      </c>
      <c r="G21" s="1">
        <v>18</v>
      </c>
      <c r="H21" s="1">
        <v>-6</v>
      </c>
      <c r="I21" s="1">
        <v>85777</v>
      </c>
      <c r="J21" s="18">
        <v>177</v>
      </c>
      <c r="K21" s="1">
        <v>24</v>
      </c>
    </row>
    <row r="22" spans="1:11" x14ac:dyDescent="0.4">
      <c r="A22" s="1">
        <v>12</v>
      </c>
      <c r="B22" s="1" t="s">
        <v>16</v>
      </c>
      <c r="C22" s="1"/>
      <c r="D22" s="1">
        <v>9</v>
      </c>
      <c r="E22" s="1">
        <v>13</v>
      </c>
      <c r="F22" s="1">
        <v>1</v>
      </c>
      <c r="G22" s="1">
        <v>11</v>
      </c>
      <c r="H22" s="1">
        <v>0</v>
      </c>
      <c r="I22" s="1">
        <v>47696</v>
      </c>
      <c r="J22" s="18">
        <v>124</v>
      </c>
      <c r="K22" s="1">
        <v>11</v>
      </c>
    </row>
    <row r="23" spans="1:11" x14ac:dyDescent="0.4">
      <c r="A23" s="1">
        <v>13</v>
      </c>
      <c r="B23" s="1" t="s">
        <v>17</v>
      </c>
      <c r="C23" s="1"/>
      <c r="D23" s="1">
        <v>20</v>
      </c>
      <c r="E23" s="1">
        <v>11</v>
      </c>
      <c r="F23" s="1">
        <v>3</v>
      </c>
      <c r="G23" s="1">
        <v>11</v>
      </c>
      <c r="H23" s="1">
        <v>-1</v>
      </c>
      <c r="I23" s="1">
        <v>56358</v>
      </c>
      <c r="J23" s="18">
        <v>144</v>
      </c>
      <c r="K23" s="1">
        <v>12</v>
      </c>
    </row>
    <row r="24" spans="1:11" x14ac:dyDescent="0.4">
      <c r="A24" s="1">
        <v>14</v>
      </c>
      <c r="B24" s="1" t="s">
        <v>18</v>
      </c>
      <c r="C24" s="1"/>
      <c r="D24" s="1">
        <v>22</v>
      </c>
      <c r="E24" s="1">
        <v>11</v>
      </c>
      <c r="F24" s="1">
        <v>2</v>
      </c>
      <c r="G24" s="1">
        <v>66</v>
      </c>
      <c r="H24" s="1">
        <v>-55</v>
      </c>
      <c r="I24" s="1">
        <v>71968</v>
      </c>
      <c r="J24" s="18">
        <v>160</v>
      </c>
      <c r="K24" s="1">
        <v>12</v>
      </c>
    </row>
    <row r="25" spans="1:11" x14ac:dyDescent="0.4">
      <c r="A25" s="1">
        <v>15</v>
      </c>
      <c r="B25" s="1" t="s">
        <v>19</v>
      </c>
      <c r="C25" s="1"/>
      <c r="D25" s="1">
        <v>44</v>
      </c>
      <c r="E25" s="1">
        <v>22</v>
      </c>
      <c r="F25" s="1">
        <v>4</v>
      </c>
      <c r="G25" s="1">
        <v>59</v>
      </c>
      <c r="H25" s="1">
        <v>-38</v>
      </c>
      <c r="I25" s="1">
        <v>177763</v>
      </c>
      <c r="J25" s="18">
        <v>442</v>
      </c>
      <c r="K25" s="1">
        <v>43</v>
      </c>
    </row>
    <row r="26" spans="1:11" x14ac:dyDescent="0.4">
      <c r="A26" s="1">
        <v>16</v>
      </c>
      <c r="B26" s="1" t="s">
        <v>20</v>
      </c>
      <c r="C26" s="1"/>
      <c r="D26" s="1">
        <v>44</v>
      </c>
      <c r="E26" s="1">
        <v>32</v>
      </c>
      <c r="F26" s="1">
        <v>0</v>
      </c>
      <c r="G26" s="1">
        <v>82</v>
      </c>
      <c r="H26" s="1">
        <v>-49</v>
      </c>
      <c r="I26" s="1">
        <v>220239</v>
      </c>
      <c r="J26" s="18">
        <v>566</v>
      </c>
      <c r="K26" s="1">
        <v>51</v>
      </c>
    </row>
    <row r="27" spans="1:11" x14ac:dyDescent="0.4">
      <c r="A27" s="1">
        <v>17</v>
      </c>
      <c r="B27" s="1" t="s">
        <v>21</v>
      </c>
      <c r="C27" s="1"/>
      <c r="D27" s="1">
        <v>7</v>
      </c>
      <c r="E27" s="1">
        <v>2</v>
      </c>
      <c r="F27" s="1">
        <v>0</v>
      </c>
      <c r="G27" s="1">
        <v>22</v>
      </c>
      <c r="H27" s="1">
        <v>-19</v>
      </c>
      <c r="I27" s="1">
        <v>57550</v>
      </c>
      <c r="J27" s="18">
        <v>143</v>
      </c>
      <c r="K27" s="1">
        <v>23</v>
      </c>
    </row>
    <row r="28" spans="1:11" x14ac:dyDescent="0.4">
      <c r="A28" s="1">
        <v>18</v>
      </c>
      <c r="B28" s="1" t="s">
        <v>22</v>
      </c>
      <c r="C28" s="1"/>
      <c r="D28" s="1">
        <v>6</v>
      </c>
      <c r="E28" s="1">
        <v>0</v>
      </c>
      <c r="F28" s="1">
        <v>0</v>
      </c>
      <c r="G28" s="1">
        <v>10</v>
      </c>
      <c r="H28" s="1">
        <v>-10</v>
      </c>
      <c r="I28" s="1">
        <v>22785</v>
      </c>
      <c r="J28" s="18">
        <v>86</v>
      </c>
      <c r="K28" s="1">
        <v>10</v>
      </c>
    </row>
    <row r="29" spans="1:11" x14ac:dyDescent="0.4">
      <c r="A29" s="1"/>
      <c r="B29" s="1" t="s">
        <v>61</v>
      </c>
      <c r="C29" s="1" t="s">
        <v>60</v>
      </c>
      <c r="D29" s="1">
        <v>215</v>
      </c>
      <c r="E29" s="1">
        <v>156</v>
      </c>
      <c r="F29" s="1">
        <v>13</v>
      </c>
      <c r="G29" s="1">
        <v>350</v>
      </c>
      <c r="H29" s="1">
        <v>-198</v>
      </c>
      <c r="I29" s="1">
        <v>992314</v>
      </c>
      <c r="J29" s="18">
        <v>2270</v>
      </c>
      <c r="K29" s="1">
        <v>241</v>
      </c>
    </row>
    <row r="30" spans="1:11" x14ac:dyDescent="0.4">
      <c r="A30" s="1"/>
      <c r="B30" s="1" t="s">
        <v>62</v>
      </c>
      <c r="C30" s="1" t="s">
        <v>60</v>
      </c>
      <c r="D30" s="1">
        <v>422</v>
      </c>
      <c r="E30" s="1">
        <v>359</v>
      </c>
      <c r="F30" s="1">
        <v>47</v>
      </c>
      <c r="G30" s="1">
        <v>625</v>
      </c>
      <c r="H30" s="1">
        <v>-280</v>
      </c>
      <c r="I30" s="1">
        <v>2016473</v>
      </c>
      <c r="J30" s="18">
        <v>3989</v>
      </c>
      <c r="K30" s="1">
        <v>553</v>
      </c>
    </row>
    <row r="33" spans="1:6" x14ac:dyDescent="0.4">
      <c r="A33" s="1" t="s">
        <v>78</v>
      </c>
      <c r="B33" s="1"/>
      <c r="C33" s="1"/>
      <c r="D33" s="1"/>
      <c r="E33" s="1"/>
      <c r="F33" s="1"/>
    </row>
    <row r="34" spans="1:6" x14ac:dyDescent="0.4">
      <c r="A34" s="1" t="s">
        <v>42</v>
      </c>
      <c r="B34" s="1"/>
      <c r="C34" s="1"/>
      <c r="D34" s="1"/>
      <c r="E34" s="1"/>
      <c r="F34" s="1"/>
    </row>
    <row r="35" spans="1:6" x14ac:dyDescent="0.4">
      <c r="A35" s="1" t="s">
        <v>43</v>
      </c>
      <c r="B35" s="1" t="s">
        <v>44</v>
      </c>
      <c r="C35" s="1" t="s">
        <v>63</v>
      </c>
      <c r="D35" s="1" t="s">
        <v>64</v>
      </c>
      <c r="E35" s="1" t="s">
        <v>65</v>
      </c>
      <c r="F35" s="1" t="s">
        <v>66</v>
      </c>
    </row>
    <row r="36" spans="1:6" x14ac:dyDescent="0.4">
      <c r="A36" s="1">
        <v>1</v>
      </c>
      <c r="B36" s="1" t="s">
        <v>54</v>
      </c>
      <c r="C36" s="1" t="s">
        <v>55</v>
      </c>
      <c r="D36" s="1">
        <v>8958</v>
      </c>
      <c r="E36" s="1">
        <v>1663</v>
      </c>
      <c r="F36" s="1">
        <v>585</v>
      </c>
    </row>
    <row r="37" spans="1:6" x14ac:dyDescent="0.4">
      <c r="A37" s="1">
        <v>1</v>
      </c>
      <c r="B37" s="1" t="s">
        <v>54</v>
      </c>
      <c r="C37" s="1" t="s">
        <v>56</v>
      </c>
      <c r="D37" s="1">
        <v>4145</v>
      </c>
      <c r="E37" s="1">
        <v>755</v>
      </c>
      <c r="F37" s="1">
        <v>230</v>
      </c>
    </row>
    <row r="38" spans="1:6" x14ac:dyDescent="0.4">
      <c r="A38" s="1">
        <v>1</v>
      </c>
      <c r="B38" s="1" t="s">
        <v>54</v>
      </c>
      <c r="C38" s="1" t="s">
        <v>57</v>
      </c>
      <c r="D38" s="1">
        <v>3190</v>
      </c>
      <c r="E38" s="1">
        <v>607</v>
      </c>
      <c r="F38" s="1">
        <v>218</v>
      </c>
    </row>
    <row r="39" spans="1:6" x14ac:dyDescent="0.4">
      <c r="A39" s="1">
        <v>1</v>
      </c>
      <c r="B39" s="1" t="s">
        <v>54</v>
      </c>
      <c r="C39" s="1" t="s">
        <v>58</v>
      </c>
      <c r="D39" s="1">
        <v>4678</v>
      </c>
      <c r="E39" s="1">
        <v>782</v>
      </c>
      <c r="F39" s="1">
        <v>235</v>
      </c>
    </row>
    <row r="40" spans="1:6" x14ac:dyDescent="0.4">
      <c r="A40" s="1">
        <v>2</v>
      </c>
      <c r="B40" s="1" t="s">
        <v>59</v>
      </c>
      <c r="C40" s="1" t="s">
        <v>55</v>
      </c>
      <c r="D40" s="1">
        <v>13022</v>
      </c>
      <c r="E40" s="1">
        <v>2113</v>
      </c>
      <c r="F40" s="1">
        <v>655</v>
      </c>
    </row>
    <row r="41" spans="1:6" x14ac:dyDescent="0.4">
      <c r="A41" s="1">
        <v>2</v>
      </c>
      <c r="B41" s="1" t="s">
        <v>59</v>
      </c>
      <c r="C41" s="1" t="s">
        <v>56</v>
      </c>
      <c r="D41" s="1">
        <v>8962</v>
      </c>
      <c r="E41" s="1">
        <v>1625</v>
      </c>
      <c r="F41" s="1">
        <v>495</v>
      </c>
    </row>
    <row r="42" spans="1:6" x14ac:dyDescent="0.4">
      <c r="A42" s="1">
        <v>3</v>
      </c>
      <c r="B42" s="1" t="s">
        <v>7</v>
      </c>
      <c r="C42" s="1"/>
      <c r="D42" s="1">
        <v>7783</v>
      </c>
      <c r="E42" s="1">
        <v>1214</v>
      </c>
      <c r="F42" s="1">
        <v>352</v>
      </c>
    </row>
    <row r="43" spans="1:6" x14ac:dyDescent="0.4">
      <c r="A43" s="1">
        <v>4</v>
      </c>
      <c r="B43" s="1" t="s">
        <v>8</v>
      </c>
      <c r="C43" s="1"/>
      <c r="D43" s="1">
        <v>25929</v>
      </c>
      <c r="E43" s="1">
        <v>4593</v>
      </c>
      <c r="F43" s="1">
        <v>1496</v>
      </c>
    </row>
    <row r="44" spans="1:6" x14ac:dyDescent="0.4">
      <c r="A44" s="1">
        <v>5</v>
      </c>
      <c r="B44" s="1" t="s">
        <v>9</v>
      </c>
      <c r="C44" s="1"/>
      <c r="D44" s="1">
        <v>17216</v>
      </c>
      <c r="E44" s="1">
        <v>2400</v>
      </c>
      <c r="F44" s="1">
        <v>702</v>
      </c>
    </row>
    <row r="45" spans="1:6" x14ac:dyDescent="0.4">
      <c r="A45" s="1">
        <v>6</v>
      </c>
      <c r="B45" s="1" t="s">
        <v>10</v>
      </c>
      <c r="C45" s="1"/>
      <c r="D45" s="1">
        <v>8943</v>
      </c>
      <c r="E45" s="1">
        <v>1679</v>
      </c>
      <c r="F45" s="1">
        <v>575</v>
      </c>
    </row>
    <row r="46" spans="1:6" x14ac:dyDescent="0.4">
      <c r="A46" s="1">
        <v>7</v>
      </c>
      <c r="B46" s="1" t="s">
        <v>11</v>
      </c>
      <c r="C46" s="1"/>
      <c r="D46" s="1">
        <v>10992</v>
      </c>
      <c r="E46" s="1">
        <v>2297</v>
      </c>
      <c r="F46" s="1">
        <v>1059</v>
      </c>
    </row>
    <row r="47" spans="1:6" x14ac:dyDescent="0.4">
      <c r="A47" s="1">
        <v>8</v>
      </c>
      <c r="B47" s="1" t="s">
        <v>12</v>
      </c>
      <c r="C47" s="1"/>
      <c r="D47" s="1">
        <v>5226</v>
      </c>
      <c r="E47" s="1">
        <v>1192</v>
      </c>
      <c r="F47" s="1">
        <v>465</v>
      </c>
    </row>
    <row r="48" spans="1:6" x14ac:dyDescent="0.4">
      <c r="A48" s="1">
        <v>10</v>
      </c>
      <c r="B48" s="1" t="s">
        <v>14</v>
      </c>
      <c r="C48" s="1"/>
      <c r="D48" s="1">
        <v>37367</v>
      </c>
      <c r="E48" s="1">
        <v>6838</v>
      </c>
      <c r="F48" s="1">
        <v>2366</v>
      </c>
    </row>
    <row r="49" spans="1:9" x14ac:dyDescent="0.4">
      <c r="A49" s="1">
        <v>11</v>
      </c>
      <c r="B49" s="1" t="s">
        <v>15</v>
      </c>
      <c r="C49" s="1"/>
      <c r="D49" s="1">
        <v>11391</v>
      </c>
      <c r="E49" s="1">
        <v>2153</v>
      </c>
      <c r="F49" s="1">
        <v>610</v>
      </c>
    </row>
    <row r="50" spans="1:9" x14ac:dyDescent="0.4">
      <c r="A50" s="1">
        <v>12</v>
      </c>
      <c r="B50" s="1" t="s">
        <v>16</v>
      </c>
      <c r="C50" s="1"/>
      <c r="D50" s="1">
        <v>7260</v>
      </c>
      <c r="E50" s="1">
        <v>1100</v>
      </c>
      <c r="F50" s="1">
        <v>345</v>
      </c>
    </row>
    <row r="51" spans="1:9" x14ac:dyDescent="0.4">
      <c r="A51" s="1">
        <v>13</v>
      </c>
      <c r="B51" s="1" t="s">
        <v>17</v>
      </c>
      <c r="C51" s="1"/>
      <c r="D51" s="1">
        <v>8022</v>
      </c>
      <c r="E51" s="1">
        <v>1361</v>
      </c>
      <c r="F51" s="1">
        <v>391</v>
      </c>
    </row>
    <row r="52" spans="1:9" x14ac:dyDescent="0.4">
      <c r="A52" s="1">
        <v>14</v>
      </c>
      <c r="B52" s="1" t="s">
        <v>18</v>
      </c>
      <c r="C52" s="1"/>
      <c r="D52" s="1">
        <v>10516</v>
      </c>
      <c r="E52" s="1">
        <v>2000</v>
      </c>
      <c r="F52" s="1">
        <v>621</v>
      </c>
    </row>
    <row r="53" spans="1:9" x14ac:dyDescent="0.4">
      <c r="A53" s="1">
        <v>15</v>
      </c>
      <c r="B53" s="1" t="s">
        <v>19</v>
      </c>
      <c r="C53" s="1"/>
      <c r="D53" s="1">
        <v>32082</v>
      </c>
      <c r="E53" s="1">
        <v>6146</v>
      </c>
      <c r="F53" s="1">
        <v>2503</v>
      </c>
    </row>
    <row r="54" spans="1:9" x14ac:dyDescent="0.4">
      <c r="A54" s="1">
        <v>16</v>
      </c>
      <c r="B54" s="1" t="s">
        <v>20</v>
      </c>
      <c r="C54" s="1"/>
      <c r="D54" s="1">
        <v>29954</v>
      </c>
      <c r="E54" s="1">
        <v>5917</v>
      </c>
      <c r="F54" s="1">
        <v>2284</v>
      </c>
    </row>
    <row r="55" spans="1:9" x14ac:dyDescent="0.4">
      <c r="A55" s="1">
        <v>17</v>
      </c>
      <c r="B55" s="1" t="s">
        <v>21</v>
      </c>
      <c r="C55" s="1"/>
      <c r="D55" s="1">
        <v>9315</v>
      </c>
      <c r="E55" s="1">
        <v>1570</v>
      </c>
      <c r="F55" s="1">
        <v>673</v>
      </c>
    </row>
    <row r="56" spans="1:9" x14ac:dyDescent="0.4">
      <c r="A56" s="1">
        <v>18</v>
      </c>
      <c r="B56" s="1" t="s">
        <v>22</v>
      </c>
      <c r="C56" s="1"/>
      <c r="D56" s="1">
        <v>4881</v>
      </c>
      <c r="E56" s="1">
        <v>1140</v>
      </c>
      <c r="F56" s="1">
        <v>578</v>
      </c>
    </row>
    <row r="57" spans="1:9" x14ac:dyDescent="0.4">
      <c r="A57" s="1"/>
      <c r="B57" s="1"/>
      <c r="C57" s="1"/>
      <c r="D57" s="1">
        <v>269832</v>
      </c>
      <c r="E57" s="1">
        <v>49145</v>
      </c>
      <c r="F57" s="1">
        <v>17438</v>
      </c>
    </row>
    <row r="60" spans="1:9" x14ac:dyDescent="0.4">
      <c r="A60" s="1" t="s">
        <v>78</v>
      </c>
      <c r="B60" s="1"/>
      <c r="C60" s="1"/>
      <c r="D60" s="1"/>
      <c r="E60" s="1"/>
      <c r="F60" s="1"/>
      <c r="G60" s="1"/>
      <c r="H60" s="1"/>
      <c r="I60" s="1"/>
    </row>
    <row r="61" spans="1:9" x14ac:dyDescent="0.4">
      <c r="A61" s="1" t="s">
        <v>42</v>
      </c>
      <c r="B61" s="1"/>
      <c r="C61" s="1"/>
      <c r="D61" s="1"/>
      <c r="E61" s="1"/>
      <c r="F61" s="1"/>
      <c r="G61" s="1"/>
      <c r="H61" s="1"/>
      <c r="I61" s="1"/>
    </row>
    <row r="62" spans="1:9" x14ac:dyDescent="0.4">
      <c r="A62" s="1" t="s">
        <v>67</v>
      </c>
      <c r="B62" s="1"/>
      <c r="C62" s="1"/>
      <c r="D62" s="1"/>
      <c r="E62" s="1"/>
      <c r="F62" s="1"/>
      <c r="G62" s="1"/>
      <c r="H62" s="1"/>
      <c r="I62" s="1"/>
    </row>
    <row r="63" spans="1:9" x14ac:dyDescent="0.4">
      <c r="A63" s="1" t="s">
        <v>68</v>
      </c>
      <c r="B63" s="1" t="s">
        <v>69</v>
      </c>
      <c r="C63" s="1" t="s">
        <v>70</v>
      </c>
      <c r="D63" s="1" t="s">
        <v>71</v>
      </c>
      <c r="E63" s="1" t="s">
        <v>72</v>
      </c>
      <c r="F63" s="1" t="s">
        <v>73</v>
      </c>
      <c r="G63" s="1" t="s">
        <v>74</v>
      </c>
      <c r="H63" s="1" t="s">
        <v>50</v>
      </c>
      <c r="I63" s="1" t="s">
        <v>53</v>
      </c>
    </row>
    <row r="64" spans="1:9" x14ac:dyDescent="0.4">
      <c r="A64" s="1">
        <v>1</v>
      </c>
      <c r="B64" s="1" t="s">
        <v>54</v>
      </c>
      <c r="C64" s="1" t="s">
        <v>55</v>
      </c>
      <c r="D64" s="1">
        <v>0</v>
      </c>
      <c r="E64" s="1">
        <v>1</v>
      </c>
      <c r="F64" s="1">
        <v>0</v>
      </c>
      <c r="G64" s="1">
        <v>1</v>
      </c>
      <c r="H64" s="1">
        <v>8058</v>
      </c>
      <c r="I64" s="1">
        <v>1</v>
      </c>
    </row>
    <row r="65" spans="1:9" x14ac:dyDescent="0.4">
      <c r="A65" s="1">
        <v>1</v>
      </c>
      <c r="B65" s="1" t="s">
        <v>54</v>
      </c>
      <c r="C65" s="1" t="s">
        <v>56</v>
      </c>
      <c r="D65" s="1">
        <v>0</v>
      </c>
      <c r="E65" s="1">
        <v>0</v>
      </c>
      <c r="F65" s="1">
        <v>0</v>
      </c>
      <c r="G65" s="1">
        <v>1</v>
      </c>
      <c r="H65" s="1">
        <v>2745</v>
      </c>
      <c r="I65" s="1">
        <v>2</v>
      </c>
    </row>
    <row r="66" spans="1:9" x14ac:dyDescent="0.4">
      <c r="A66" s="1">
        <v>1</v>
      </c>
      <c r="B66" s="1" t="s">
        <v>54</v>
      </c>
      <c r="C66" s="1" t="s">
        <v>57</v>
      </c>
      <c r="D66" s="1">
        <v>2</v>
      </c>
      <c r="E66" s="1">
        <v>0</v>
      </c>
      <c r="F66" s="1">
        <v>0</v>
      </c>
      <c r="G66" s="1">
        <v>2</v>
      </c>
      <c r="H66" s="1">
        <v>3685</v>
      </c>
      <c r="I66" s="1">
        <v>0</v>
      </c>
    </row>
    <row r="67" spans="1:9" x14ac:dyDescent="0.4">
      <c r="A67" s="1">
        <v>1</v>
      </c>
      <c r="B67" s="1" t="s">
        <v>54</v>
      </c>
      <c r="C67" s="1" t="s">
        <v>58</v>
      </c>
      <c r="D67" s="1">
        <v>0</v>
      </c>
      <c r="E67" s="1">
        <v>1</v>
      </c>
      <c r="F67" s="1">
        <v>0</v>
      </c>
      <c r="G67" s="1">
        <v>2</v>
      </c>
      <c r="H67" s="1">
        <v>4909</v>
      </c>
      <c r="I67" s="1">
        <v>1</v>
      </c>
    </row>
    <row r="68" spans="1:9" x14ac:dyDescent="0.4">
      <c r="A68" s="1">
        <v>2</v>
      </c>
      <c r="B68" s="1" t="s">
        <v>59</v>
      </c>
      <c r="C68" s="1" t="s">
        <v>55</v>
      </c>
      <c r="D68" s="1">
        <v>1</v>
      </c>
      <c r="E68" s="1">
        <v>0</v>
      </c>
      <c r="F68" s="1">
        <v>1</v>
      </c>
      <c r="G68" s="1">
        <v>7</v>
      </c>
      <c r="H68" s="1">
        <v>12699</v>
      </c>
      <c r="I68" s="1">
        <v>4</v>
      </c>
    </row>
    <row r="69" spans="1:9" x14ac:dyDescent="0.4">
      <c r="A69" s="1">
        <v>2</v>
      </c>
      <c r="B69" s="1" t="s">
        <v>59</v>
      </c>
      <c r="C69" s="1" t="s">
        <v>56</v>
      </c>
      <c r="D69" s="1">
        <v>3</v>
      </c>
      <c r="E69" s="1">
        <v>0</v>
      </c>
      <c r="F69" s="1">
        <v>0</v>
      </c>
      <c r="G69" s="1">
        <v>2</v>
      </c>
      <c r="H69" s="1">
        <v>7132</v>
      </c>
      <c r="I69" s="1">
        <v>3</v>
      </c>
    </row>
    <row r="70" spans="1:9" x14ac:dyDescent="0.4">
      <c r="A70" s="1">
        <v>3</v>
      </c>
      <c r="B70" s="1" t="s">
        <v>7</v>
      </c>
      <c r="C70" s="1"/>
      <c r="D70" s="1">
        <v>0</v>
      </c>
      <c r="E70" s="1">
        <v>0</v>
      </c>
      <c r="F70" s="1">
        <v>0</v>
      </c>
      <c r="G70" s="1">
        <v>5</v>
      </c>
      <c r="H70" s="1">
        <v>8353</v>
      </c>
      <c r="I70" s="1">
        <v>3</v>
      </c>
    </row>
    <row r="71" spans="1:9" x14ac:dyDescent="0.4">
      <c r="A71" s="1">
        <v>4</v>
      </c>
      <c r="B71" s="1" t="s">
        <v>8</v>
      </c>
      <c r="C71" s="1"/>
      <c r="D71" s="1">
        <v>2</v>
      </c>
      <c r="E71" s="1">
        <v>5</v>
      </c>
      <c r="F71" s="1">
        <v>0</v>
      </c>
      <c r="G71" s="1">
        <v>2</v>
      </c>
      <c r="H71" s="1">
        <v>21524</v>
      </c>
      <c r="I71" s="1">
        <v>7</v>
      </c>
    </row>
    <row r="72" spans="1:9" x14ac:dyDescent="0.4">
      <c r="A72" s="1">
        <v>5</v>
      </c>
      <c r="B72" s="1" t="s">
        <v>9</v>
      </c>
      <c r="C72" s="1"/>
      <c r="D72" s="1">
        <v>1</v>
      </c>
      <c r="E72" s="1">
        <v>1</v>
      </c>
      <c r="F72" s="1">
        <v>0</v>
      </c>
      <c r="G72" s="1">
        <v>5</v>
      </c>
      <c r="H72" s="1">
        <v>15044</v>
      </c>
      <c r="I72" s="1">
        <v>3</v>
      </c>
    </row>
    <row r="73" spans="1:9" x14ac:dyDescent="0.4">
      <c r="A73" s="1">
        <v>6</v>
      </c>
      <c r="B73" s="1" t="s">
        <v>10</v>
      </c>
      <c r="C73" s="1"/>
      <c r="D73" s="1">
        <v>1</v>
      </c>
      <c r="E73" s="1">
        <v>2</v>
      </c>
      <c r="F73" s="1">
        <v>1</v>
      </c>
      <c r="G73" s="1">
        <v>1</v>
      </c>
      <c r="H73" s="1">
        <v>7466</v>
      </c>
      <c r="I73" s="1">
        <v>1</v>
      </c>
    </row>
    <row r="74" spans="1:9" x14ac:dyDescent="0.4">
      <c r="A74" s="1">
        <v>7</v>
      </c>
      <c r="B74" s="1" t="s">
        <v>11</v>
      </c>
      <c r="C74" s="1"/>
      <c r="D74" s="1">
        <v>2</v>
      </c>
      <c r="E74" s="1">
        <v>1</v>
      </c>
      <c r="F74" s="1">
        <v>0</v>
      </c>
      <c r="G74" s="1">
        <v>6</v>
      </c>
      <c r="H74" s="1">
        <v>12461</v>
      </c>
      <c r="I74" s="1">
        <v>1</v>
      </c>
    </row>
    <row r="75" spans="1:9" x14ac:dyDescent="0.4">
      <c r="A75" s="1">
        <v>8</v>
      </c>
      <c r="B75" s="1" t="s">
        <v>12</v>
      </c>
      <c r="C75" s="1"/>
      <c r="D75" s="1">
        <v>0</v>
      </c>
      <c r="E75" s="1">
        <v>3</v>
      </c>
      <c r="F75" s="1">
        <v>0</v>
      </c>
      <c r="G75" s="1">
        <v>0</v>
      </c>
      <c r="H75" s="1">
        <v>6325</v>
      </c>
      <c r="I75" s="1">
        <v>2</v>
      </c>
    </row>
    <row r="76" spans="1:9" x14ac:dyDescent="0.4">
      <c r="A76" s="1">
        <v>10</v>
      </c>
      <c r="B76" s="1" t="s">
        <v>14</v>
      </c>
      <c r="C76" s="1"/>
      <c r="D76" s="1">
        <v>7</v>
      </c>
      <c r="E76" s="1">
        <v>12</v>
      </c>
      <c r="F76" s="1">
        <v>0</v>
      </c>
      <c r="G76" s="1">
        <v>7</v>
      </c>
      <c r="H76" s="1">
        <v>30680</v>
      </c>
      <c r="I76" s="1">
        <v>12</v>
      </c>
    </row>
    <row r="77" spans="1:9" x14ac:dyDescent="0.4">
      <c r="A77" s="1">
        <v>11</v>
      </c>
      <c r="B77" s="1" t="s">
        <v>15</v>
      </c>
      <c r="C77" s="1"/>
      <c r="D77" s="1">
        <v>0</v>
      </c>
      <c r="E77" s="1">
        <v>0</v>
      </c>
      <c r="F77" s="1">
        <v>1</v>
      </c>
      <c r="G77" s="1">
        <v>3</v>
      </c>
      <c r="H77" s="1">
        <v>6928</v>
      </c>
      <c r="I77" s="1">
        <v>2</v>
      </c>
    </row>
    <row r="78" spans="1:9" x14ac:dyDescent="0.4">
      <c r="A78" s="1">
        <v>12</v>
      </c>
      <c r="B78" s="1" t="s">
        <v>16</v>
      </c>
      <c r="C78" s="1"/>
      <c r="D78" s="1">
        <v>0</v>
      </c>
      <c r="E78" s="1">
        <v>1</v>
      </c>
      <c r="F78" s="1">
        <v>0</v>
      </c>
      <c r="G78" s="1">
        <v>4</v>
      </c>
      <c r="H78" s="1">
        <v>9119</v>
      </c>
      <c r="I78" s="1">
        <v>3</v>
      </c>
    </row>
    <row r="79" spans="1:9" x14ac:dyDescent="0.4">
      <c r="A79" s="1">
        <v>13</v>
      </c>
      <c r="B79" s="1" t="s">
        <v>17</v>
      </c>
      <c r="C79" s="1"/>
      <c r="D79" s="1">
        <v>2</v>
      </c>
      <c r="E79" s="1">
        <v>0</v>
      </c>
      <c r="F79" s="1">
        <v>1</v>
      </c>
      <c r="G79" s="1">
        <v>1</v>
      </c>
      <c r="H79" s="1">
        <v>6817</v>
      </c>
      <c r="I79" s="1">
        <v>2</v>
      </c>
    </row>
    <row r="80" spans="1:9" x14ac:dyDescent="0.4">
      <c r="A80" s="1">
        <v>14</v>
      </c>
      <c r="B80" s="1" t="s">
        <v>18</v>
      </c>
      <c r="C80" s="1"/>
      <c r="D80" s="1">
        <v>1</v>
      </c>
      <c r="E80" s="1">
        <v>0</v>
      </c>
      <c r="F80" s="1">
        <v>0</v>
      </c>
      <c r="G80" s="1">
        <v>55</v>
      </c>
      <c r="H80" s="1">
        <v>10941</v>
      </c>
      <c r="I80" s="1">
        <v>1</v>
      </c>
    </row>
    <row r="81" spans="1:11" x14ac:dyDescent="0.4">
      <c r="A81" s="1">
        <v>15</v>
      </c>
      <c r="B81" s="1" t="s">
        <v>19</v>
      </c>
      <c r="C81" s="1"/>
      <c r="D81" s="1">
        <v>0</v>
      </c>
      <c r="E81" s="1">
        <v>2</v>
      </c>
      <c r="F81" s="1">
        <v>0</v>
      </c>
      <c r="G81" s="1">
        <v>8</v>
      </c>
      <c r="H81" s="1">
        <v>26822</v>
      </c>
      <c r="I81" s="1">
        <v>6</v>
      </c>
    </row>
    <row r="82" spans="1:11" x14ac:dyDescent="0.4">
      <c r="A82" s="1">
        <v>16</v>
      </c>
      <c r="B82" s="1" t="s">
        <v>20</v>
      </c>
      <c r="C82" s="1"/>
      <c r="D82" s="1">
        <v>2</v>
      </c>
      <c r="E82" s="1">
        <v>1</v>
      </c>
      <c r="F82" s="1">
        <v>0</v>
      </c>
      <c r="G82" s="1">
        <v>12</v>
      </c>
      <c r="H82" s="1">
        <v>32211</v>
      </c>
      <c r="I82" s="1">
        <v>10</v>
      </c>
    </row>
    <row r="83" spans="1:11" x14ac:dyDescent="0.4">
      <c r="A83" s="1">
        <v>17</v>
      </c>
      <c r="B83" s="1" t="s">
        <v>21</v>
      </c>
      <c r="C83" s="1"/>
      <c r="D83" s="1">
        <v>3</v>
      </c>
      <c r="E83" s="1">
        <v>0</v>
      </c>
      <c r="F83" s="1">
        <v>0</v>
      </c>
      <c r="G83" s="1">
        <v>4</v>
      </c>
      <c r="H83" s="1">
        <v>15502</v>
      </c>
      <c r="I83" s="1">
        <v>6</v>
      </c>
    </row>
    <row r="84" spans="1:11" x14ac:dyDescent="0.4">
      <c r="A84" s="1">
        <v>18</v>
      </c>
      <c r="B84" s="1" t="s">
        <v>22</v>
      </c>
      <c r="C84" s="1"/>
      <c r="D84" s="1">
        <v>2</v>
      </c>
      <c r="E84" s="1">
        <v>0</v>
      </c>
      <c r="F84" s="1">
        <v>0</v>
      </c>
      <c r="G84" s="1">
        <v>4</v>
      </c>
      <c r="H84" s="1">
        <v>7628</v>
      </c>
      <c r="I84" s="1">
        <v>2</v>
      </c>
    </row>
    <row r="88" spans="1:11" x14ac:dyDescent="0.4">
      <c r="A88" s="1" t="s">
        <v>78</v>
      </c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4">
      <c r="A89" s="1" t="s">
        <v>75</v>
      </c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4">
      <c r="A90" s="1" t="s">
        <v>43</v>
      </c>
      <c r="B90" s="1" t="s">
        <v>44</v>
      </c>
      <c r="C90" s="1" t="s">
        <v>45</v>
      </c>
      <c r="D90" s="1" t="s">
        <v>46</v>
      </c>
      <c r="E90" s="1" t="s">
        <v>47</v>
      </c>
      <c r="F90" s="1" t="s">
        <v>48</v>
      </c>
      <c r="G90" s="1" t="s">
        <v>49</v>
      </c>
      <c r="H90" s="1" t="s">
        <v>50</v>
      </c>
      <c r="I90" s="1" t="s">
        <v>51</v>
      </c>
      <c r="J90" s="18" t="s">
        <v>52</v>
      </c>
      <c r="K90" s="1" t="s">
        <v>53</v>
      </c>
    </row>
    <row r="91" spans="1:11" x14ac:dyDescent="0.4">
      <c r="A91" s="1">
        <v>1</v>
      </c>
      <c r="B91" s="1" t="s">
        <v>54</v>
      </c>
      <c r="C91" s="1" t="s">
        <v>55</v>
      </c>
      <c r="D91" s="1">
        <v>12</v>
      </c>
      <c r="E91" s="1">
        <v>17</v>
      </c>
      <c r="F91" s="1">
        <v>2</v>
      </c>
      <c r="G91" s="1">
        <v>28</v>
      </c>
      <c r="H91" s="1">
        <v>-14</v>
      </c>
      <c r="I91" s="1">
        <v>92417</v>
      </c>
      <c r="J91" s="18">
        <v>173</v>
      </c>
      <c r="K91" s="1">
        <v>19</v>
      </c>
    </row>
    <row r="92" spans="1:11" x14ac:dyDescent="0.4">
      <c r="A92" s="1">
        <v>1</v>
      </c>
      <c r="B92" s="1" t="s">
        <v>54</v>
      </c>
      <c r="C92" s="1" t="s">
        <v>56</v>
      </c>
      <c r="D92" s="1">
        <v>14</v>
      </c>
      <c r="E92" s="1">
        <v>6</v>
      </c>
      <c r="F92" s="1">
        <v>0</v>
      </c>
      <c r="G92" s="1">
        <v>10</v>
      </c>
      <c r="H92" s="1">
        <v>-2</v>
      </c>
      <c r="I92" s="1">
        <v>48833</v>
      </c>
      <c r="J92" s="18">
        <v>88</v>
      </c>
      <c r="K92" s="1">
        <v>14</v>
      </c>
    </row>
    <row r="93" spans="1:11" x14ac:dyDescent="0.4">
      <c r="A93" s="1">
        <v>1</v>
      </c>
      <c r="B93" s="1" t="s">
        <v>54</v>
      </c>
      <c r="C93" s="1" t="s">
        <v>57</v>
      </c>
      <c r="D93" s="1">
        <v>7</v>
      </c>
      <c r="E93" s="1">
        <v>14</v>
      </c>
      <c r="F93" s="1">
        <v>2</v>
      </c>
      <c r="G93" s="1">
        <v>11</v>
      </c>
      <c r="H93" s="1">
        <v>3</v>
      </c>
      <c r="I93" s="1">
        <v>36564</v>
      </c>
      <c r="J93" s="18">
        <v>83</v>
      </c>
      <c r="K93" s="1">
        <v>18</v>
      </c>
    </row>
    <row r="94" spans="1:11" x14ac:dyDescent="0.4">
      <c r="A94" s="1">
        <v>1</v>
      </c>
      <c r="B94" s="1" t="s">
        <v>54</v>
      </c>
      <c r="C94" s="1" t="s">
        <v>58</v>
      </c>
      <c r="D94" s="1">
        <v>15</v>
      </c>
      <c r="E94" s="1">
        <v>14</v>
      </c>
      <c r="F94" s="1">
        <v>1</v>
      </c>
      <c r="G94" s="1">
        <v>16</v>
      </c>
      <c r="H94" s="1">
        <v>-3</v>
      </c>
      <c r="I94" s="1">
        <v>56655</v>
      </c>
      <c r="J94" s="18">
        <v>105</v>
      </c>
      <c r="K94" s="1">
        <v>11</v>
      </c>
    </row>
    <row r="95" spans="1:11" x14ac:dyDescent="0.4">
      <c r="A95" s="1">
        <v>2</v>
      </c>
      <c r="B95" s="1" t="s">
        <v>59</v>
      </c>
      <c r="C95" s="1" t="s">
        <v>55</v>
      </c>
      <c r="D95" s="1">
        <v>27</v>
      </c>
      <c r="E95" s="1">
        <v>24</v>
      </c>
      <c r="F95" s="1">
        <v>7</v>
      </c>
      <c r="G95" s="1">
        <v>35</v>
      </c>
      <c r="H95" s="1">
        <v>-15</v>
      </c>
      <c r="I95" s="1">
        <v>138925</v>
      </c>
      <c r="J95" s="18">
        <v>230</v>
      </c>
      <c r="K95" s="1">
        <v>41</v>
      </c>
    </row>
    <row r="96" spans="1:11" x14ac:dyDescent="0.4">
      <c r="A96" s="1">
        <v>2</v>
      </c>
      <c r="B96" s="1" t="s">
        <v>59</v>
      </c>
      <c r="C96" s="1" t="s">
        <v>56</v>
      </c>
      <c r="D96" s="1">
        <v>21</v>
      </c>
      <c r="E96" s="1">
        <v>22</v>
      </c>
      <c r="F96" s="1">
        <v>7</v>
      </c>
      <c r="G96" s="1">
        <v>11</v>
      </c>
      <c r="H96" s="1">
        <v>9</v>
      </c>
      <c r="I96" s="1">
        <v>97459</v>
      </c>
      <c r="J96" s="18">
        <v>127</v>
      </c>
      <c r="K96" s="1">
        <v>31</v>
      </c>
    </row>
    <row r="97" spans="1:11" x14ac:dyDescent="0.4">
      <c r="A97" s="1">
        <v>3</v>
      </c>
      <c r="B97" s="1" t="s">
        <v>7</v>
      </c>
      <c r="C97" s="1"/>
      <c r="D97" s="1">
        <v>5</v>
      </c>
      <c r="E97" s="1">
        <v>10</v>
      </c>
      <c r="F97" s="1">
        <v>3</v>
      </c>
      <c r="G97" s="1">
        <v>28</v>
      </c>
      <c r="H97" s="1">
        <v>-18</v>
      </c>
      <c r="I97" s="1">
        <v>60389</v>
      </c>
      <c r="J97" s="18">
        <v>67</v>
      </c>
      <c r="K97" s="1">
        <v>16</v>
      </c>
    </row>
    <row r="98" spans="1:11" x14ac:dyDescent="0.4">
      <c r="A98" s="1">
        <v>4</v>
      </c>
      <c r="B98" s="1" t="s">
        <v>8</v>
      </c>
      <c r="C98" s="1"/>
      <c r="D98" s="1">
        <v>53</v>
      </c>
      <c r="E98" s="1">
        <v>26</v>
      </c>
      <c r="F98" s="1">
        <v>7</v>
      </c>
      <c r="G98" s="1">
        <v>50</v>
      </c>
      <c r="H98" s="1">
        <v>-32</v>
      </c>
      <c r="I98" s="1">
        <v>176300</v>
      </c>
      <c r="J98" s="18">
        <v>262</v>
      </c>
      <c r="K98" s="1">
        <v>78</v>
      </c>
    </row>
    <row r="99" spans="1:11" x14ac:dyDescent="0.4">
      <c r="A99" s="1">
        <v>5</v>
      </c>
      <c r="B99" s="1" t="s">
        <v>9</v>
      </c>
      <c r="C99" s="1"/>
      <c r="D99" s="1">
        <v>17</v>
      </c>
      <c r="E99" s="1">
        <v>21</v>
      </c>
      <c r="F99" s="1">
        <v>0</v>
      </c>
      <c r="G99" s="1">
        <v>15</v>
      </c>
      <c r="H99" s="1">
        <v>8</v>
      </c>
      <c r="I99" s="1">
        <v>93720</v>
      </c>
      <c r="J99" s="18">
        <v>201</v>
      </c>
      <c r="K99" s="1">
        <v>24</v>
      </c>
    </row>
    <row r="100" spans="1:11" x14ac:dyDescent="0.4">
      <c r="A100" s="1">
        <v>6</v>
      </c>
      <c r="B100" s="1" t="s">
        <v>10</v>
      </c>
      <c r="C100" s="1"/>
      <c r="D100" s="1">
        <v>5</v>
      </c>
      <c r="E100" s="1">
        <v>5</v>
      </c>
      <c r="F100" s="1">
        <v>1</v>
      </c>
      <c r="G100" s="1">
        <v>22</v>
      </c>
      <c r="H100" s="1">
        <v>-18</v>
      </c>
      <c r="I100" s="1">
        <v>47564</v>
      </c>
      <c r="J100" s="18">
        <v>82</v>
      </c>
      <c r="K100" s="1">
        <v>12</v>
      </c>
    </row>
    <row r="101" spans="1:11" x14ac:dyDescent="0.4">
      <c r="A101" s="1">
        <v>7</v>
      </c>
      <c r="B101" s="1" t="s">
        <v>11</v>
      </c>
      <c r="C101" s="1"/>
      <c r="D101" s="1">
        <v>10</v>
      </c>
      <c r="E101" s="1">
        <v>10</v>
      </c>
      <c r="F101" s="1">
        <v>1</v>
      </c>
      <c r="G101" s="1">
        <v>19</v>
      </c>
      <c r="H101" s="1">
        <v>-9</v>
      </c>
      <c r="I101" s="1">
        <v>39786</v>
      </c>
      <c r="J101" s="18">
        <v>42</v>
      </c>
      <c r="K101" s="1">
        <v>6</v>
      </c>
    </row>
    <row r="102" spans="1:11" x14ac:dyDescent="0.4">
      <c r="A102" s="1">
        <v>8</v>
      </c>
      <c r="B102" s="1" t="s">
        <v>12</v>
      </c>
      <c r="C102" s="1"/>
      <c r="D102" s="1">
        <v>7</v>
      </c>
      <c r="E102" s="1">
        <v>9</v>
      </c>
      <c r="F102" s="1">
        <v>0</v>
      </c>
      <c r="G102" s="1">
        <v>6</v>
      </c>
      <c r="H102" s="1">
        <v>3</v>
      </c>
      <c r="I102" s="1">
        <v>27456</v>
      </c>
      <c r="J102" s="18">
        <v>47</v>
      </c>
      <c r="K102" s="1">
        <v>5</v>
      </c>
    </row>
    <row r="103" spans="1:11" x14ac:dyDescent="0.4">
      <c r="A103" s="1"/>
      <c r="B103" s="1" t="s">
        <v>25</v>
      </c>
      <c r="C103" s="1" t="s">
        <v>60</v>
      </c>
      <c r="D103" s="1">
        <v>193</v>
      </c>
      <c r="E103" s="1">
        <v>178</v>
      </c>
      <c r="F103" s="1">
        <v>31</v>
      </c>
      <c r="G103" s="1">
        <v>251</v>
      </c>
      <c r="H103" s="1">
        <v>-88</v>
      </c>
      <c r="I103" s="1">
        <v>916068</v>
      </c>
      <c r="J103" s="18">
        <v>1507</v>
      </c>
      <c r="K103" s="1">
        <v>275</v>
      </c>
    </row>
    <row r="104" spans="1:11" x14ac:dyDescent="0.4">
      <c r="A104" s="1">
        <v>10</v>
      </c>
      <c r="B104" s="1" t="s">
        <v>14</v>
      </c>
      <c r="C104" s="1"/>
      <c r="D104" s="1">
        <v>41</v>
      </c>
      <c r="E104" s="1">
        <v>37</v>
      </c>
      <c r="F104" s="1">
        <v>1</v>
      </c>
      <c r="G104" s="1">
        <v>65</v>
      </c>
      <c r="H104" s="1">
        <v>-27</v>
      </c>
      <c r="I104" s="1">
        <v>226772</v>
      </c>
      <c r="J104" s="18">
        <v>348</v>
      </c>
      <c r="K104" s="1">
        <v>39</v>
      </c>
    </row>
    <row r="105" spans="1:11" x14ac:dyDescent="0.4">
      <c r="A105" s="1">
        <v>11</v>
      </c>
      <c r="B105" s="1" t="s">
        <v>15</v>
      </c>
      <c r="C105" s="1"/>
      <c r="D105" s="1">
        <v>16</v>
      </c>
      <c r="E105" s="1">
        <v>14</v>
      </c>
      <c r="F105" s="1">
        <v>2</v>
      </c>
      <c r="G105" s="1">
        <v>17</v>
      </c>
      <c r="H105" s="1">
        <v>-6</v>
      </c>
      <c r="I105" s="1">
        <v>79039</v>
      </c>
      <c r="J105" s="18">
        <v>165</v>
      </c>
      <c r="K105" s="1">
        <v>22</v>
      </c>
    </row>
    <row r="106" spans="1:11" x14ac:dyDescent="0.4">
      <c r="A106" s="1">
        <v>12</v>
      </c>
      <c r="B106" s="1" t="s">
        <v>16</v>
      </c>
      <c r="C106" s="1"/>
      <c r="D106" s="1">
        <v>9</v>
      </c>
      <c r="E106" s="1">
        <v>13</v>
      </c>
      <c r="F106" s="1">
        <v>1</v>
      </c>
      <c r="G106" s="1">
        <v>8</v>
      </c>
      <c r="H106" s="1">
        <v>3</v>
      </c>
      <c r="I106" s="1">
        <v>42384</v>
      </c>
      <c r="J106" s="18">
        <v>121</v>
      </c>
      <c r="K106" s="1">
        <v>11</v>
      </c>
    </row>
    <row r="107" spans="1:11" x14ac:dyDescent="0.4">
      <c r="A107" s="1">
        <v>13</v>
      </c>
      <c r="B107" s="1" t="s">
        <v>17</v>
      </c>
      <c r="C107" s="1"/>
      <c r="D107" s="1">
        <v>18</v>
      </c>
      <c r="E107" s="1">
        <v>10</v>
      </c>
      <c r="F107" s="1">
        <v>3</v>
      </c>
      <c r="G107" s="1">
        <v>11</v>
      </c>
      <c r="H107" s="1">
        <v>-2</v>
      </c>
      <c r="I107" s="1">
        <v>52374</v>
      </c>
      <c r="J107" s="18">
        <v>140</v>
      </c>
      <c r="K107" s="1">
        <v>12</v>
      </c>
    </row>
    <row r="108" spans="1:11" x14ac:dyDescent="0.4">
      <c r="A108" s="1">
        <v>14</v>
      </c>
      <c r="B108" s="1" t="s">
        <v>18</v>
      </c>
      <c r="C108" s="1"/>
      <c r="D108" s="1">
        <v>20</v>
      </c>
      <c r="E108" s="1">
        <v>11</v>
      </c>
      <c r="F108" s="1">
        <v>2</v>
      </c>
      <c r="G108" s="1">
        <v>16</v>
      </c>
      <c r="H108" s="1">
        <v>-5</v>
      </c>
      <c r="I108" s="1">
        <v>64576</v>
      </c>
      <c r="J108" s="18">
        <v>155</v>
      </c>
      <c r="K108" s="1">
        <v>11</v>
      </c>
    </row>
    <row r="109" spans="1:11" x14ac:dyDescent="0.4">
      <c r="A109" s="1">
        <v>15</v>
      </c>
      <c r="B109" s="1" t="s">
        <v>19</v>
      </c>
      <c r="C109" s="1"/>
      <c r="D109" s="1">
        <v>40</v>
      </c>
      <c r="E109" s="1">
        <v>21</v>
      </c>
      <c r="F109" s="1">
        <v>3</v>
      </c>
      <c r="G109" s="1">
        <v>56</v>
      </c>
      <c r="H109" s="1">
        <v>-37</v>
      </c>
      <c r="I109" s="1">
        <v>159562</v>
      </c>
      <c r="J109" s="18">
        <v>389</v>
      </c>
      <c r="K109" s="1">
        <v>41</v>
      </c>
    </row>
    <row r="110" spans="1:11" x14ac:dyDescent="0.4">
      <c r="A110" s="1">
        <v>16</v>
      </c>
      <c r="B110" s="1" t="s">
        <v>20</v>
      </c>
      <c r="C110" s="1"/>
      <c r="D110" s="1">
        <v>42</v>
      </c>
      <c r="E110" s="1">
        <v>29</v>
      </c>
      <c r="F110" s="1">
        <v>0</v>
      </c>
      <c r="G110" s="1">
        <v>81</v>
      </c>
      <c r="H110" s="1">
        <v>-52</v>
      </c>
      <c r="I110" s="1">
        <v>194346</v>
      </c>
      <c r="J110" s="18">
        <v>489</v>
      </c>
      <c r="K110" s="1">
        <v>46</v>
      </c>
    </row>
    <row r="111" spans="1:11" x14ac:dyDescent="0.4">
      <c r="A111" s="1">
        <v>17</v>
      </c>
      <c r="B111" s="1" t="s">
        <v>21</v>
      </c>
      <c r="C111" s="1"/>
      <c r="D111" s="1">
        <v>7</v>
      </c>
      <c r="E111" s="1">
        <v>2</v>
      </c>
      <c r="F111" s="1">
        <v>0</v>
      </c>
      <c r="G111" s="1">
        <v>21</v>
      </c>
      <c r="H111" s="1">
        <v>-18</v>
      </c>
      <c r="I111" s="1">
        <v>52160</v>
      </c>
      <c r="J111" s="18">
        <v>134</v>
      </c>
      <c r="K111" s="1">
        <v>23</v>
      </c>
    </row>
    <row r="112" spans="1:11" x14ac:dyDescent="0.4">
      <c r="A112" s="1">
        <v>18</v>
      </c>
      <c r="B112" s="1" t="s">
        <v>22</v>
      </c>
      <c r="C112" s="1"/>
      <c r="D112" s="1">
        <v>6</v>
      </c>
      <c r="E112" s="1">
        <v>0</v>
      </c>
      <c r="F112" s="1">
        <v>0</v>
      </c>
      <c r="G112" s="1">
        <v>7</v>
      </c>
      <c r="H112" s="1">
        <v>-7</v>
      </c>
      <c r="I112" s="1">
        <v>18702</v>
      </c>
      <c r="J112" s="18">
        <v>81</v>
      </c>
      <c r="K112" s="1">
        <v>10</v>
      </c>
    </row>
    <row r="113" spans="1:11" x14ac:dyDescent="0.4">
      <c r="A113" s="1"/>
      <c r="B113" s="1" t="s">
        <v>61</v>
      </c>
      <c r="C113" s="1" t="s">
        <v>60</v>
      </c>
      <c r="D113" s="1">
        <v>199</v>
      </c>
      <c r="E113" s="1">
        <v>137</v>
      </c>
      <c r="F113" s="1">
        <v>12</v>
      </c>
      <c r="G113" s="1">
        <v>282</v>
      </c>
      <c r="H113" s="1">
        <v>-151</v>
      </c>
      <c r="I113" s="1">
        <v>889915</v>
      </c>
      <c r="J113" s="18">
        <v>2022</v>
      </c>
      <c r="K113" s="1">
        <v>215</v>
      </c>
    </row>
    <row r="114" spans="1:11" x14ac:dyDescent="0.4">
      <c r="A114" s="1"/>
      <c r="B114" s="1" t="s">
        <v>62</v>
      </c>
      <c r="C114" s="1" t="s">
        <v>60</v>
      </c>
      <c r="D114" s="1">
        <v>392</v>
      </c>
      <c r="E114" s="1">
        <v>315</v>
      </c>
      <c r="F114" s="1">
        <v>43</v>
      </c>
      <c r="G114" s="1">
        <v>533</v>
      </c>
      <c r="H114" s="1">
        <v>-239</v>
      </c>
      <c r="I114" s="1">
        <v>1805983</v>
      </c>
      <c r="J114" s="18">
        <v>3529</v>
      </c>
      <c r="K114" s="1">
        <v>490</v>
      </c>
    </row>
    <row r="117" spans="1:11" x14ac:dyDescent="0.4">
      <c r="A117" s="1" t="s">
        <v>78</v>
      </c>
      <c r="B117" s="1"/>
      <c r="C117" s="1"/>
      <c r="D117" s="1"/>
      <c r="E117" s="1"/>
      <c r="F117" s="1"/>
    </row>
    <row r="118" spans="1:11" x14ac:dyDescent="0.4">
      <c r="A118" s="1" t="s">
        <v>75</v>
      </c>
      <c r="B118" s="1"/>
      <c r="C118" s="1"/>
      <c r="D118" s="1"/>
      <c r="E118" s="1"/>
      <c r="F118" s="1"/>
    </row>
    <row r="119" spans="1:11" x14ac:dyDescent="0.4">
      <c r="A119" s="1" t="s">
        <v>43</v>
      </c>
      <c r="B119" s="1" t="s">
        <v>44</v>
      </c>
      <c r="C119" s="1" t="s">
        <v>63</v>
      </c>
      <c r="D119" s="1" t="s">
        <v>64</v>
      </c>
      <c r="E119" s="1" t="s">
        <v>65</v>
      </c>
      <c r="F119" s="1" t="s">
        <v>66</v>
      </c>
    </row>
    <row r="120" spans="1:11" x14ac:dyDescent="0.4">
      <c r="A120" s="1">
        <v>1</v>
      </c>
      <c r="B120" s="1" t="s">
        <v>54</v>
      </c>
      <c r="C120" s="1" t="s">
        <v>55</v>
      </c>
      <c r="D120" s="1">
        <v>8139</v>
      </c>
      <c r="E120" s="1">
        <v>1484</v>
      </c>
      <c r="F120" s="1">
        <v>490</v>
      </c>
    </row>
    <row r="121" spans="1:11" x14ac:dyDescent="0.4">
      <c r="A121" s="1">
        <v>1</v>
      </c>
      <c r="B121" s="1" t="s">
        <v>54</v>
      </c>
      <c r="C121" s="1" t="s">
        <v>56</v>
      </c>
      <c r="D121" s="1">
        <v>3648</v>
      </c>
      <c r="E121" s="1">
        <v>626</v>
      </c>
      <c r="F121" s="1">
        <v>172</v>
      </c>
    </row>
    <row r="122" spans="1:11" x14ac:dyDescent="0.4">
      <c r="A122" s="1">
        <v>1</v>
      </c>
      <c r="B122" s="1" t="s">
        <v>54</v>
      </c>
      <c r="C122" s="1" t="s">
        <v>57</v>
      </c>
      <c r="D122" s="1">
        <v>2695</v>
      </c>
      <c r="E122" s="1">
        <v>498</v>
      </c>
      <c r="F122" s="1">
        <v>175</v>
      </c>
    </row>
    <row r="123" spans="1:11" x14ac:dyDescent="0.4">
      <c r="A123" s="1">
        <v>1</v>
      </c>
      <c r="B123" s="1" t="s">
        <v>54</v>
      </c>
      <c r="C123" s="1" t="s">
        <v>58</v>
      </c>
      <c r="D123" s="1">
        <v>4274</v>
      </c>
      <c r="E123" s="1">
        <v>707</v>
      </c>
      <c r="F123" s="1">
        <v>206</v>
      </c>
    </row>
    <row r="124" spans="1:11" x14ac:dyDescent="0.4">
      <c r="A124" s="1">
        <v>2</v>
      </c>
      <c r="B124" s="1" t="s">
        <v>59</v>
      </c>
      <c r="C124" s="1" t="s">
        <v>55</v>
      </c>
      <c r="D124" s="1">
        <v>12194</v>
      </c>
      <c r="E124" s="1">
        <v>1970</v>
      </c>
      <c r="F124" s="1">
        <v>597</v>
      </c>
    </row>
    <row r="125" spans="1:11" x14ac:dyDescent="0.4">
      <c r="A125" s="1">
        <v>2</v>
      </c>
      <c r="B125" s="1" t="s">
        <v>59</v>
      </c>
      <c r="C125" s="1" t="s">
        <v>56</v>
      </c>
      <c r="D125" s="1">
        <v>8340</v>
      </c>
      <c r="E125" s="1">
        <v>1494</v>
      </c>
      <c r="F125" s="1">
        <v>427</v>
      </c>
    </row>
    <row r="126" spans="1:11" x14ac:dyDescent="0.4">
      <c r="A126" s="1">
        <v>3</v>
      </c>
      <c r="B126" s="1" t="s">
        <v>7</v>
      </c>
      <c r="C126" s="1"/>
      <c r="D126" s="1">
        <v>7353</v>
      </c>
      <c r="E126" s="1">
        <v>1144</v>
      </c>
      <c r="F126" s="1">
        <v>332</v>
      </c>
    </row>
    <row r="127" spans="1:11" x14ac:dyDescent="0.4">
      <c r="A127" s="1">
        <v>4</v>
      </c>
      <c r="B127" s="1" t="s">
        <v>8</v>
      </c>
      <c r="C127" s="1"/>
      <c r="D127" s="1">
        <v>23570</v>
      </c>
      <c r="E127" s="1">
        <v>4350</v>
      </c>
      <c r="F127" s="1">
        <v>1391</v>
      </c>
    </row>
    <row r="128" spans="1:11" x14ac:dyDescent="0.4">
      <c r="A128" s="1">
        <v>5</v>
      </c>
      <c r="B128" s="1" t="s">
        <v>9</v>
      </c>
      <c r="C128" s="1"/>
      <c r="D128" s="1">
        <v>14283</v>
      </c>
      <c r="E128" s="1">
        <v>2256</v>
      </c>
      <c r="F128" s="1">
        <v>630</v>
      </c>
    </row>
    <row r="129" spans="1:9" x14ac:dyDescent="0.4">
      <c r="A129" s="1">
        <v>6</v>
      </c>
      <c r="B129" s="1" t="s">
        <v>10</v>
      </c>
      <c r="C129" s="1"/>
      <c r="D129" s="1">
        <v>8399</v>
      </c>
      <c r="E129" s="1">
        <v>1590</v>
      </c>
      <c r="F129" s="1">
        <v>536</v>
      </c>
    </row>
    <row r="130" spans="1:9" x14ac:dyDescent="0.4">
      <c r="A130" s="1">
        <v>7</v>
      </c>
      <c r="B130" s="1" t="s">
        <v>11</v>
      </c>
      <c r="C130" s="1"/>
      <c r="D130" s="1">
        <v>10134</v>
      </c>
      <c r="E130" s="1">
        <v>2173</v>
      </c>
      <c r="F130" s="1">
        <v>993</v>
      </c>
    </row>
    <row r="131" spans="1:9" x14ac:dyDescent="0.4">
      <c r="A131" s="1">
        <v>8</v>
      </c>
      <c r="B131" s="1" t="s">
        <v>12</v>
      </c>
      <c r="C131" s="1"/>
      <c r="D131" s="1">
        <v>4738</v>
      </c>
      <c r="E131" s="1">
        <v>1096</v>
      </c>
      <c r="F131" s="1">
        <v>418</v>
      </c>
    </row>
    <row r="132" spans="1:9" x14ac:dyDescent="0.4">
      <c r="A132" s="1">
        <v>10</v>
      </c>
      <c r="B132" s="1" t="s">
        <v>14</v>
      </c>
      <c r="C132" s="1"/>
      <c r="D132" s="1">
        <v>33826</v>
      </c>
      <c r="E132" s="1">
        <v>6340</v>
      </c>
      <c r="F132" s="1">
        <v>2177</v>
      </c>
    </row>
    <row r="133" spans="1:9" x14ac:dyDescent="0.4">
      <c r="A133" s="1">
        <v>11</v>
      </c>
      <c r="B133" s="1" t="s">
        <v>15</v>
      </c>
      <c r="C133" s="1"/>
      <c r="D133" s="1">
        <v>10637</v>
      </c>
      <c r="E133" s="1">
        <v>1984</v>
      </c>
      <c r="F133" s="1">
        <v>537</v>
      </c>
    </row>
    <row r="134" spans="1:9" x14ac:dyDescent="0.4">
      <c r="A134" s="1">
        <v>12</v>
      </c>
      <c r="B134" s="1" t="s">
        <v>16</v>
      </c>
      <c r="C134" s="1"/>
      <c r="D134" s="1">
        <v>6627</v>
      </c>
      <c r="E134" s="1">
        <v>1053</v>
      </c>
      <c r="F134" s="1">
        <v>331</v>
      </c>
    </row>
    <row r="135" spans="1:9" x14ac:dyDescent="0.4">
      <c r="A135" s="1">
        <v>13</v>
      </c>
      <c r="B135" s="1" t="s">
        <v>17</v>
      </c>
      <c r="C135" s="1"/>
      <c r="D135" s="1">
        <v>7674</v>
      </c>
      <c r="E135" s="1">
        <v>1272</v>
      </c>
      <c r="F135" s="1">
        <v>356</v>
      </c>
    </row>
    <row r="136" spans="1:9" x14ac:dyDescent="0.4">
      <c r="A136" s="1">
        <v>14</v>
      </c>
      <c r="B136" s="1" t="s">
        <v>18</v>
      </c>
      <c r="C136" s="1"/>
      <c r="D136" s="1">
        <v>9872</v>
      </c>
      <c r="E136" s="1">
        <v>1882</v>
      </c>
      <c r="F136" s="1">
        <v>559</v>
      </c>
    </row>
    <row r="137" spans="1:9" x14ac:dyDescent="0.4">
      <c r="A137" s="1">
        <v>15</v>
      </c>
      <c r="B137" s="1" t="s">
        <v>19</v>
      </c>
      <c r="C137" s="1"/>
      <c r="D137" s="1">
        <v>28030</v>
      </c>
      <c r="E137" s="1">
        <v>5829</v>
      </c>
      <c r="F137" s="1">
        <v>2334</v>
      </c>
    </row>
    <row r="138" spans="1:9" x14ac:dyDescent="0.4">
      <c r="A138" s="1">
        <v>16</v>
      </c>
      <c r="B138" s="1" t="s">
        <v>20</v>
      </c>
      <c r="C138" s="1"/>
      <c r="D138" s="1">
        <v>27098</v>
      </c>
      <c r="E138" s="1">
        <v>5514</v>
      </c>
      <c r="F138" s="1">
        <v>2060</v>
      </c>
    </row>
    <row r="139" spans="1:9" x14ac:dyDescent="0.4">
      <c r="A139" s="1">
        <v>17</v>
      </c>
      <c r="B139" s="1" t="s">
        <v>21</v>
      </c>
      <c r="C139" s="1"/>
      <c r="D139" s="1">
        <v>8603</v>
      </c>
      <c r="E139" s="1">
        <v>1505</v>
      </c>
      <c r="F139" s="1">
        <v>647</v>
      </c>
    </row>
    <row r="140" spans="1:9" x14ac:dyDescent="0.4">
      <c r="A140" s="1">
        <v>18</v>
      </c>
      <c r="B140" s="1" t="s">
        <v>22</v>
      </c>
      <c r="C140" s="1"/>
      <c r="D140" s="1">
        <v>4546</v>
      </c>
      <c r="E140" s="1">
        <v>1064</v>
      </c>
      <c r="F140" s="1">
        <v>530</v>
      </c>
    </row>
    <row r="141" spans="1:9" x14ac:dyDescent="0.4">
      <c r="A141" s="1"/>
      <c r="B141" s="1"/>
      <c r="C141" s="1"/>
      <c r="D141" s="1">
        <v>244680</v>
      </c>
      <c r="E141" s="1">
        <v>45831</v>
      </c>
      <c r="F141" s="1">
        <v>15898</v>
      </c>
    </row>
    <row r="144" spans="1:9" x14ac:dyDescent="0.4">
      <c r="A144" s="1" t="s">
        <v>78</v>
      </c>
      <c r="B144" s="1"/>
      <c r="C144" s="1"/>
      <c r="D144" s="1"/>
      <c r="E144" s="1"/>
      <c r="F144" s="1"/>
      <c r="G144" s="1"/>
      <c r="H144" s="1"/>
      <c r="I144" s="1"/>
    </row>
    <row r="145" spans="1:9" x14ac:dyDescent="0.4">
      <c r="A145" s="1" t="s">
        <v>75</v>
      </c>
      <c r="B145" s="1"/>
      <c r="C145" s="1"/>
      <c r="D145" s="1"/>
      <c r="E145" s="1"/>
      <c r="F145" s="1"/>
      <c r="G145" s="1"/>
      <c r="H145" s="1"/>
      <c r="I145" s="1"/>
    </row>
    <row r="146" spans="1:9" x14ac:dyDescent="0.4">
      <c r="A146" s="1" t="s">
        <v>67</v>
      </c>
      <c r="B146" s="1"/>
      <c r="C146" s="1"/>
      <c r="D146" s="1"/>
      <c r="E146" s="1"/>
      <c r="F146" s="1"/>
      <c r="G146" s="1"/>
      <c r="H146" s="1"/>
      <c r="I146" s="1"/>
    </row>
    <row r="147" spans="1:9" x14ac:dyDescent="0.4">
      <c r="A147" s="1" t="s">
        <v>68</v>
      </c>
      <c r="B147" s="1" t="s">
        <v>69</v>
      </c>
      <c r="C147" s="1" t="s">
        <v>70</v>
      </c>
      <c r="D147" s="1" t="s">
        <v>71</v>
      </c>
      <c r="E147" s="1" t="s">
        <v>72</v>
      </c>
      <c r="F147" s="1" t="s">
        <v>73</v>
      </c>
      <c r="G147" s="1" t="s">
        <v>74</v>
      </c>
      <c r="H147" s="1" t="s">
        <v>50</v>
      </c>
      <c r="I147" s="1" t="s">
        <v>53</v>
      </c>
    </row>
    <row r="148" spans="1:9" x14ac:dyDescent="0.4">
      <c r="A148" s="1">
        <v>1</v>
      </c>
      <c r="B148" s="1" t="s">
        <v>54</v>
      </c>
      <c r="C148" s="1" t="s">
        <v>55</v>
      </c>
      <c r="D148" s="1">
        <v>0</v>
      </c>
      <c r="E148" s="1">
        <v>1</v>
      </c>
      <c r="F148" s="1">
        <v>0</v>
      </c>
      <c r="G148" s="1">
        <v>1</v>
      </c>
      <c r="H148" s="1">
        <v>5614</v>
      </c>
      <c r="I148" s="1">
        <v>1</v>
      </c>
    </row>
    <row r="149" spans="1:9" x14ac:dyDescent="0.4">
      <c r="A149" s="1">
        <v>1</v>
      </c>
      <c r="B149" s="1" t="s">
        <v>54</v>
      </c>
      <c r="C149" s="1" t="s">
        <v>56</v>
      </c>
      <c r="D149" s="1">
        <v>0</v>
      </c>
      <c r="E149" s="1">
        <v>0</v>
      </c>
      <c r="F149" s="1">
        <v>0</v>
      </c>
      <c r="G149" s="1">
        <v>1</v>
      </c>
      <c r="H149" s="1">
        <v>1917</v>
      </c>
      <c r="I149" s="1">
        <v>2</v>
      </c>
    </row>
    <row r="150" spans="1:9" x14ac:dyDescent="0.4">
      <c r="A150" s="1">
        <v>1</v>
      </c>
      <c r="B150" s="1" t="s">
        <v>54</v>
      </c>
      <c r="C150" s="1" t="s">
        <v>57</v>
      </c>
      <c r="D150" s="1">
        <v>2</v>
      </c>
      <c r="E150" s="1">
        <v>0</v>
      </c>
      <c r="F150" s="1">
        <v>0</v>
      </c>
      <c r="G150" s="1">
        <v>1</v>
      </c>
      <c r="H150" s="1">
        <v>1674</v>
      </c>
      <c r="I150" s="1">
        <v>0</v>
      </c>
    </row>
    <row r="151" spans="1:9" x14ac:dyDescent="0.4">
      <c r="A151" s="1">
        <v>1</v>
      </c>
      <c r="B151" s="1" t="s">
        <v>54</v>
      </c>
      <c r="C151" s="1" t="s">
        <v>58</v>
      </c>
      <c r="D151" s="1">
        <v>0</v>
      </c>
      <c r="E151" s="1">
        <v>1</v>
      </c>
      <c r="F151" s="1">
        <v>0</v>
      </c>
      <c r="G151" s="1">
        <v>2</v>
      </c>
      <c r="H151" s="1">
        <v>4026</v>
      </c>
      <c r="I151" s="1">
        <v>1</v>
      </c>
    </row>
    <row r="152" spans="1:9" x14ac:dyDescent="0.4">
      <c r="A152" s="1">
        <v>2</v>
      </c>
      <c r="B152" s="1" t="s">
        <v>59</v>
      </c>
      <c r="C152" s="1" t="s">
        <v>55</v>
      </c>
      <c r="D152" s="1">
        <v>1</v>
      </c>
      <c r="E152" s="1">
        <v>0</v>
      </c>
      <c r="F152" s="1">
        <v>1</v>
      </c>
      <c r="G152" s="1">
        <v>7</v>
      </c>
      <c r="H152" s="1">
        <v>10572</v>
      </c>
      <c r="I152" s="1">
        <v>4</v>
      </c>
    </row>
    <row r="153" spans="1:9" x14ac:dyDescent="0.4">
      <c r="A153" s="1">
        <v>2</v>
      </c>
      <c r="B153" s="1" t="s">
        <v>59</v>
      </c>
      <c r="C153" s="1" t="s">
        <v>56</v>
      </c>
      <c r="D153" s="1">
        <v>3</v>
      </c>
      <c r="E153" s="1">
        <v>0</v>
      </c>
      <c r="F153" s="1">
        <v>0</v>
      </c>
      <c r="G153" s="1">
        <v>2</v>
      </c>
      <c r="H153" s="1">
        <v>5491</v>
      </c>
      <c r="I153" s="1">
        <v>3</v>
      </c>
    </row>
    <row r="154" spans="1:9" x14ac:dyDescent="0.4">
      <c r="A154" s="1">
        <v>3</v>
      </c>
      <c r="B154" s="1" t="s">
        <v>7</v>
      </c>
      <c r="C154" s="1"/>
      <c r="D154" s="1">
        <v>0</v>
      </c>
      <c r="E154" s="1">
        <v>0</v>
      </c>
      <c r="F154" s="1">
        <v>0</v>
      </c>
      <c r="G154" s="1">
        <v>5</v>
      </c>
      <c r="H154" s="1">
        <v>7401</v>
      </c>
      <c r="I154" s="1">
        <v>3</v>
      </c>
    </row>
    <row r="155" spans="1:9" x14ac:dyDescent="0.4">
      <c r="A155" s="1">
        <v>4</v>
      </c>
      <c r="B155" s="1" t="s">
        <v>8</v>
      </c>
      <c r="C155" s="1"/>
      <c r="D155" s="1">
        <v>2</v>
      </c>
      <c r="E155" s="1">
        <v>3</v>
      </c>
      <c r="F155" s="1">
        <v>0</v>
      </c>
      <c r="G155" s="1">
        <v>2</v>
      </c>
      <c r="H155" s="1">
        <v>14643</v>
      </c>
      <c r="I155" s="1">
        <v>6</v>
      </c>
    </row>
    <row r="156" spans="1:9" x14ac:dyDescent="0.4">
      <c r="A156" s="1">
        <v>5</v>
      </c>
      <c r="B156" s="1" t="s">
        <v>9</v>
      </c>
      <c r="C156" s="1"/>
      <c r="D156" s="1">
        <v>1</v>
      </c>
      <c r="E156" s="1">
        <v>1</v>
      </c>
      <c r="F156" s="1">
        <v>0</v>
      </c>
      <c r="G156" s="1">
        <v>5</v>
      </c>
      <c r="H156" s="1">
        <v>9299</v>
      </c>
      <c r="I156" s="1">
        <v>3</v>
      </c>
    </row>
    <row r="157" spans="1:9" x14ac:dyDescent="0.4">
      <c r="A157" s="1">
        <v>6</v>
      </c>
      <c r="B157" s="1" t="s">
        <v>10</v>
      </c>
      <c r="C157" s="1"/>
      <c r="D157" s="1">
        <v>1</v>
      </c>
      <c r="E157" s="1">
        <v>2</v>
      </c>
      <c r="F157" s="1">
        <v>1</v>
      </c>
      <c r="G157" s="1">
        <v>1</v>
      </c>
      <c r="H157" s="1">
        <v>5471</v>
      </c>
      <c r="I157" s="1">
        <v>1</v>
      </c>
    </row>
    <row r="158" spans="1:9" x14ac:dyDescent="0.4">
      <c r="A158" s="1">
        <v>7</v>
      </c>
      <c r="B158" s="1" t="s">
        <v>11</v>
      </c>
      <c r="C158" s="1"/>
      <c r="D158" s="1">
        <v>2</v>
      </c>
      <c r="E158" s="1">
        <v>1</v>
      </c>
      <c r="F158" s="1">
        <v>0</v>
      </c>
      <c r="G158" s="1">
        <v>6</v>
      </c>
      <c r="H158" s="1">
        <v>8754</v>
      </c>
      <c r="I158" s="1">
        <v>0</v>
      </c>
    </row>
    <row r="159" spans="1:9" x14ac:dyDescent="0.4">
      <c r="A159" s="1">
        <v>8</v>
      </c>
      <c r="B159" s="1" t="s">
        <v>12</v>
      </c>
      <c r="C159" s="1"/>
      <c r="D159" s="1">
        <v>0</v>
      </c>
      <c r="E159" s="1">
        <v>3</v>
      </c>
      <c r="F159" s="1">
        <v>0</v>
      </c>
      <c r="G159" s="1">
        <v>0</v>
      </c>
      <c r="H159" s="1">
        <v>3180</v>
      </c>
      <c r="I159" s="1">
        <v>2</v>
      </c>
    </row>
    <row r="160" spans="1:9" x14ac:dyDescent="0.4">
      <c r="A160" s="1">
        <v>10</v>
      </c>
      <c r="B160" s="1" t="s">
        <v>14</v>
      </c>
      <c r="C160" s="1"/>
      <c r="D160" s="1">
        <v>7</v>
      </c>
      <c r="E160" s="1">
        <v>3</v>
      </c>
      <c r="F160" s="1">
        <v>0</v>
      </c>
      <c r="G160" s="1">
        <v>6</v>
      </c>
      <c r="H160" s="1">
        <v>23017</v>
      </c>
      <c r="I160" s="1">
        <v>6</v>
      </c>
    </row>
    <row r="161" spans="1:11" x14ac:dyDescent="0.4">
      <c r="A161" s="1">
        <v>11</v>
      </c>
      <c r="B161" s="1" t="s">
        <v>15</v>
      </c>
      <c r="C161" s="1"/>
      <c r="D161" s="1">
        <v>0</v>
      </c>
      <c r="E161" s="1">
        <v>0</v>
      </c>
      <c r="F161" s="1">
        <v>1</v>
      </c>
      <c r="G161" s="1">
        <v>3</v>
      </c>
      <c r="H161" s="1">
        <v>5395</v>
      </c>
      <c r="I161" s="1">
        <v>2</v>
      </c>
    </row>
    <row r="162" spans="1:11" x14ac:dyDescent="0.4">
      <c r="A162" s="1">
        <v>12</v>
      </c>
      <c r="B162" s="1" t="s">
        <v>16</v>
      </c>
      <c r="C162" s="1"/>
      <c r="D162" s="1">
        <v>0</v>
      </c>
      <c r="E162" s="1">
        <v>1</v>
      </c>
      <c r="F162" s="1">
        <v>0</v>
      </c>
      <c r="G162" s="1">
        <v>2</v>
      </c>
      <c r="H162" s="1">
        <v>5568</v>
      </c>
      <c r="I162" s="1">
        <v>3</v>
      </c>
    </row>
    <row r="163" spans="1:11" x14ac:dyDescent="0.4">
      <c r="A163" s="1">
        <v>13</v>
      </c>
      <c r="B163" s="1" t="s">
        <v>17</v>
      </c>
      <c r="C163" s="1"/>
      <c r="D163" s="1">
        <v>2</v>
      </c>
      <c r="E163" s="1">
        <v>0</v>
      </c>
      <c r="F163" s="1">
        <v>1</v>
      </c>
      <c r="G163" s="1">
        <v>1</v>
      </c>
      <c r="H163" s="1">
        <v>5151</v>
      </c>
      <c r="I163" s="1">
        <v>2</v>
      </c>
    </row>
    <row r="164" spans="1:11" x14ac:dyDescent="0.4">
      <c r="A164" s="1">
        <v>14</v>
      </c>
      <c r="B164" s="1" t="s">
        <v>18</v>
      </c>
      <c r="C164" s="1"/>
      <c r="D164" s="1">
        <v>1</v>
      </c>
      <c r="E164" s="1">
        <v>0</v>
      </c>
      <c r="F164" s="1">
        <v>0</v>
      </c>
      <c r="G164" s="1">
        <v>5</v>
      </c>
      <c r="H164" s="1">
        <v>6234</v>
      </c>
      <c r="I164" s="1">
        <v>1</v>
      </c>
    </row>
    <row r="165" spans="1:11" x14ac:dyDescent="0.4">
      <c r="A165" s="1">
        <v>15</v>
      </c>
      <c r="B165" s="1" t="s">
        <v>19</v>
      </c>
      <c r="C165" s="1"/>
      <c r="D165" s="1">
        <v>0</v>
      </c>
      <c r="E165" s="1">
        <v>2</v>
      </c>
      <c r="F165" s="1">
        <v>0</v>
      </c>
      <c r="G165" s="1">
        <v>8</v>
      </c>
      <c r="H165" s="1">
        <v>16552</v>
      </c>
      <c r="I165" s="1">
        <v>5</v>
      </c>
    </row>
    <row r="166" spans="1:11" x14ac:dyDescent="0.4">
      <c r="A166" s="1">
        <v>16</v>
      </c>
      <c r="B166" s="1" t="s">
        <v>20</v>
      </c>
      <c r="C166" s="1"/>
      <c r="D166" s="1">
        <v>2</v>
      </c>
      <c r="E166" s="1">
        <v>1</v>
      </c>
      <c r="F166" s="1">
        <v>0</v>
      </c>
      <c r="G166" s="1">
        <v>12</v>
      </c>
      <c r="H166" s="1">
        <v>19033</v>
      </c>
      <c r="I166" s="1">
        <v>7</v>
      </c>
    </row>
    <row r="167" spans="1:11" x14ac:dyDescent="0.4">
      <c r="A167" s="1">
        <v>17</v>
      </c>
      <c r="B167" s="1" t="s">
        <v>21</v>
      </c>
      <c r="C167" s="1"/>
      <c r="D167" s="1">
        <v>3</v>
      </c>
      <c r="E167" s="1">
        <v>0</v>
      </c>
      <c r="F167" s="1">
        <v>0</v>
      </c>
      <c r="G167" s="1">
        <v>4</v>
      </c>
      <c r="H167" s="1">
        <v>12161</v>
      </c>
      <c r="I167" s="1">
        <v>6</v>
      </c>
    </row>
    <row r="168" spans="1:11" x14ac:dyDescent="0.4">
      <c r="A168" s="1">
        <v>18</v>
      </c>
      <c r="B168" s="1" t="s">
        <v>22</v>
      </c>
      <c r="C168" s="1"/>
      <c r="D168" s="1">
        <v>2</v>
      </c>
      <c r="E168" s="1">
        <v>0</v>
      </c>
      <c r="F168" s="1">
        <v>0</v>
      </c>
      <c r="G168" s="1">
        <v>1</v>
      </c>
      <c r="H168" s="1">
        <v>4372</v>
      </c>
      <c r="I168" s="1">
        <v>2</v>
      </c>
    </row>
    <row r="172" spans="1:11" x14ac:dyDescent="0.4">
      <c r="A172" s="1" t="s">
        <v>78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x14ac:dyDescent="0.4">
      <c r="A173" s="1" t="s">
        <v>76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x14ac:dyDescent="0.4">
      <c r="A174" s="1" t="s">
        <v>43</v>
      </c>
      <c r="B174" s="1" t="s">
        <v>44</v>
      </c>
      <c r="C174" s="1" t="s">
        <v>45</v>
      </c>
      <c r="D174" s="1" t="s">
        <v>46</v>
      </c>
      <c r="E174" s="1" t="s">
        <v>47</v>
      </c>
      <c r="F174" s="1" t="s">
        <v>48</v>
      </c>
      <c r="G174" s="1" t="s">
        <v>49</v>
      </c>
      <c r="H174" s="1" t="s">
        <v>50</v>
      </c>
      <c r="I174" s="1" t="s">
        <v>51</v>
      </c>
      <c r="J174" s="1" t="s">
        <v>52</v>
      </c>
      <c r="K174" s="1" t="s">
        <v>53</v>
      </c>
    </row>
    <row r="175" spans="1:11" x14ac:dyDescent="0.4">
      <c r="A175" s="1">
        <v>1</v>
      </c>
      <c r="B175" s="1" t="s">
        <v>54</v>
      </c>
      <c r="C175" s="1" t="s">
        <v>55</v>
      </c>
      <c r="D175" s="1">
        <v>1</v>
      </c>
      <c r="E175" s="1">
        <v>2</v>
      </c>
      <c r="F175" s="1">
        <v>0</v>
      </c>
      <c r="G175" s="1">
        <v>4</v>
      </c>
      <c r="H175" s="1">
        <v>-1</v>
      </c>
      <c r="I175" s="1">
        <v>11162</v>
      </c>
      <c r="J175" s="1">
        <v>18</v>
      </c>
      <c r="K175" s="1">
        <v>4</v>
      </c>
    </row>
    <row r="176" spans="1:11" x14ac:dyDescent="0.4">
      <c r="A176" s="1">
        <v>1</v>
      </c>
      <c r="B176" s="1" t="s">
        <v>54</v>
      </c>
      <c r="C176" s="1" t="s">
        <v>56</v>
      </c>
      <c r="D176" s="1">
        <v>1</v>
      </c>
      <c r="E176" s="1">
        <v>2</v>
      </c>
      <c r="F176" s="1">
        <v>0</v>
      </c>
      <c r="G176" s="1">
        <v>3</v>
      </c>
      <c r="H176" s="1">
        <v>-1</v>
      </c>
      <c r="I176" s="1">
        <v>6924</v>
      </c>
      <c r="J176" s="1">
        <v>13</v>
      </c>
      <c r="K176" s="1">
        <v>3</v>
      </c>
    </row>
    <row r="177" spans="1:11" x14ac:dyDescent="0.4">
      <c r="A177" s="1">
        <v>1</v>
      </c>
      <c r="B177" s="1" t="s">
        <v>54</v>
      </c>
      <c r="C177" s="1" t="s">
        <v>57</v>
      </c>
      <c r="D177" s="1">
        <v>2</v>
      </c>
      <c r="E177" s="1">
        <v>3</v>
      </c>
      <c r="F177" s="1">
        <v>0</v>
      </c>
      <c r="G177" s="1">
        <v>6</v>
      </c>
      <c r="H177" s="1">
        <v>-3</v>
      </c>
      <c r="I177" s="1">
        <v>11912</v>
      </c>
      <c r="J177" s="1">
        <v>8</v>
      </c>
      <c r="K177" s="1">
        <v>8</v>
      </c>
    </row>
    <row r="178" spans="1:11" x14ac:dyDescent="0.4">
      <c r="A178" s="1">
        <v>1</v>
      </c>
      <c r="B178" s="1" t="s">
        <v>54</v>
      </c>
      <c r="C178" s="1" t="s">
        <v>58</v>
      </c>
      <c r="D178" s="1">
        <v>1</v>
      </c>
      <c r="E178" s="1">
        <v>1</v>
      </c>
      <c r="F178" s="1">
        <v>0</v>
      </c>
      <c r="G178" s="1">
        <v>1</v>
      </c>
      <c r="H178" s="1">
        <v>-1</v>
      </c>
      <c r="I178" s="1">
        <v>5527</v>
      </c>
      <c r="J178" s="1">
        <v>10</v>
      </c>
      <c r="K178" s="1">
        <v>1</v>
      </c>
    </row>
    <row r="179" spans="1:11" x14ac:dyDescent="0.4">
      <c r="A179" s="1">
        <v>2</v>
      </c>
      <c r="B179" s="1" t="s">
        <v>59</v>
      </c>
      <c r="C179" s="1" t="s">
        <v>55</v>
      </c>
      <c r="D179" s="1">
        <v>3</v>
      </c>
      <c r="E179" s="1">
        <v>5</v>
      </c>
      <c r="F179" s="1">
        <v>1</v>
      </c>
      <c r="G179" s="1">
        <v>5</v>
      </c>
      <c r="H179" s="1">
        <v>0</v>
      </c>
      <c r="I179" s="1">
        <v>11296</v>
      </c>
      <c r="J179" s="1">
        <v>26</v>
      </c>
      <c r="K179" s="1">
        <v>5</v>
      </c>
    </row>
    <row r="180" spans="1:11" x14ac:dyDescent="0.4">
      <c r="A180" s="1">
        <v>2</v>
      </c>
      <c r="B180" s="1" t="s">
        <v>59</v>
      </c>
      <c r="C180" s="1" t="s">
        <v>56</v>
      </c>
      <c r="D180" s="1">
        <v>2</v>
      </c>
      <c r="E180" s="1">
        <v>0</v>
      </c>
      <c r="F180" s="1">
        <v>0</v>
      </c>
      <c r="G180" s="1">
        <v>1</v>
      </c>
      <c r="H180" s="1">
        <v>2</v>
      </c>
      <c r="I180" s="1">
        <v>10357</v>
      </c>
      <c r="J180" s="1">
        <v>17</v>
      </c>
      <c r="K180" s="1">
        <v>3</v>
      </c>
    </row>
    <row r="181" spans="1:11" x14ac:dyDescent="0.4">
      <c r="A181" s="1">
        <v>3</v>
      </c>
      <c r="B181" s="1" t="s">
        <v>7</v>
      </c>
      <c r="C181" s="1"/>
      <c r="D181" s="1">
        <v>0</v>
      </c>
      <c r="E181" s="1">
        <v>0</v>
      </c>
      <c r="F181" s="1">
        <v>0</v>
      </c>
      <c r="G181" s="1">
        <v>1</v>
      </c>
      <c r="H181" s="1">
        <v>-1</v>
      </c>
      <c r="I181" s="1">
        <v>4266</v>
      </c>
      <c r="J181" s="1">
        <v>4</v>
      </c>
      <c r="K181" s="1">
        <v>2</v>
      </c>
    </row>
    <row r="182" spans="1:11" x14ac:dyDescent="0.4">
      <c r="A182" s="1">
        <v>4</v>
      </c>
      <c r="B182" s="1" t="s">
        <v>8</v>
      </c>
      <c r="C182" s="1"/>
      <c r="D182" s="1">
        <v>4</v>
      </c>
      <c r="E182" s="1">
        <v>9</v>
      </c>
      <c r="F182" s="1">
        <v>2</v>
      </c>
      <c r="G182" s="1">
        <v>2</v>
      </c>
      <c r="H182" s="1">
        <v>9</v>
      </c>
      <c r="I182" s="1">
        <v>19922</v>
      </c>
      <c r="J182" s="1">
        <v>47</v>
      </c>
      <c r="K182" s="1">
        <v>3</v>
      </c>
    </row>
    <row r="183" spans="1:11" x14ac:dyDescent="0.4">
      <c r="A183" s="1">
        <v>5</v>
      </c>
      <c r="B183" s="1" t="s">
        <v>9</v>
      </c>
      <c r="C183" s="1"/>
      <c r="D183" s="1">
        <v>0</v>
      </c>
      <c r="E183" s="1">
        <v>3</v>
      </c>
      <c r="F183" s="1">
        <v>0</v>
      </c>
      <c r="G183" s="1">
        <v>0</v>
      </c>
      <c r="H183" s="1">
        <v>2</v>
      </c>
      <c r="I183" s="1">
        <v>11876</v>
      </c>
      <c r="J183" s="1">
        <v>58</v>
      </c>
      <c r="K183" s="1">
        <v>4</v>
      </c>
    </row>
    <row r="184" spans="1:11" x14ac:dyDescent="0.4">
      <c r="A184" s="1">
        <v>6</v>
      </c>
      <c r="B184" s="1" t="s">
        <v>10</v>
      </c>
      <c r="C184" s="1"/>
      <c r="D184" s="1">
        <v>0</v>
      </c>
      <c r="E184" s="1">
        <v>0</v>
      </c>
      <c r="F184" s="1">
        <v>0</v>
      </c>
      <c r="G184" s="1">
        <v>1</v>
      </c>
      <c r="H184" s="1">
        <v>0</v>
      </c>
      <c r="I184" s="1">
        <v>4244</v>
      </c>
      <c r="J184" s="1">
        <v>5</v>
      </c>
      <c r="K184" s="1">
        <v>2</v>
      </c>
    </row>
    <row r="185" spans="1:11" x14ac:dyDescent="0.4">
      <c r="A185" s="1">
        <v>7</v>
      </c>
      <c r="B185" s="1" t="s">
        <v>11</v>
      </c>
      <c r="C185" s="1"/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5750</v>
      </c>
      <c r="J185" s="1">
        <v>1</v>
      </c>
      <c r="K185" s="1">
        <v>2</v>
      </c>
    </row>
    <row r="186" spans="1:11" x14ac:dyDescent="0.4">
      <c r="A186" s="1">
        <v>8</v>
      </c>
      <c r="B186" s="1" t="s">
        <v>12</v>
      </c>
      <c r="C186" s="1"/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4853</v>
      </c>
      <c r="J186" s="1">
        <v>5</v>
      </c>
      <c r="K186" s="1">
        <v>0</v>
      </c>
    </row>
    <row r="187" spans="1:11" x14ac:dyDescent="0.4">
      <c r="A187" s="1"/>
      <c r="B187" s="1" t="s">
        <v>25</v>
      </c>
      <c r="C187" s="1" t="s">
        <v>60</v>
      </c>
      <c r="D187" s="1">
        <v>14</v>
      </c>
      <c r="E187" s="1">
        <v>25</v>
      </c>
      <c r="F187" s="1">
        <v>3</v>
      </c>
      <c r="G187" s="1">
        <v>24</v>
      </c>
      <c r="H187" s="1">
        <v>6</v>
      </c>
      <c r="I187" s="1">
        <v>108089</v>
      </c>
      <c r="J187" s="1">
        <v>212</v>
      </c>
      <c r="K187" s="1">
        <v>37</v>
      </c>
    </row>
    <row r="188" spans="1:11" x14ac:dyDescent="0.4">
      <c r="A188" s="1">
        <v>10</v>
      </c>
      <c r="B188" s="1" t="s">
        <v>14</v>
      </c>
      <c r="C188" s="1"/>
      <c r="D188" s="1">
        <v>5</v>
      </c>
      <c r="E188" s="1">
        <v>14</v>
      </c>
      <c r="F188" s="1">
        <v>0</v>
      </c>
      <c r="G188" s="1">
        <v>6</v>
      </c>
      <c r="H188" s="1">
        <v>7</v>
      </c>
      <c r="I188" s="1">
        <v>25405</v>
      </c>
      <c r="J188" s="1">
        <v>80</v>
      </c>
      <c r="K188" s="1">
        <v>16</v>
      </c>
    </row>
    <row r="189" spans="1:11" x14ac:dyDescent="0.4">
      <c r="A189" s="1">
        <v>11</v>
      </c>
      <c r="B189" s="1" t="s">
        <v>15</v>
      </c>
      <c r="C189" s="1"/>
      <c r="D189" s="1">
        <v>1</v>
      </c>
      <c r="E189" s="1">
        <v>0</v>
      </c>
      <c r="F189" s="1">
        <v>0</v>
      </c>
      <c r="G189" s="1">
        <v>1</v>
      </c>
      <c r="H189" s="1">
        <v>0</v>
      </c>
      <c r="I189" s="1">
        <v>6738</v>
      </c>
      <c r="J189" s="1">
        <v>12</v>
      </c>
      <c r="K189" s="1">
        <v>2</v>
      </c>
    </row>
    <row r="190" spans="1:11" x14ac:dyDescent="0.4">
      <c r="A190" s="1">
        <v>12</v>
      </c>
      <c r="B190" s="1" t="s">
        <v>16</v>
      </c>
      <c r="C190" s="1"/>
      <c r="D190" s="1">
        <v>0</v>
      </c>
      <c r="E190" s="1">
        <v>0</v>
      </c>
      <c r="F190" s="1">
        <v>0</v>
      </c>
      <c r="G190" s="1">
        <v>3</v>
      </c>
      <c r="H190" s="1">
        <v>-3</v>
      </c>
      <c r="I190" s="1">
        <v>5312</v>
      </c>
      <c r="J190" s="1">
        <v>3</v>
      </c>
      <c r="K190" s="1">
        <v>0</v>
      </c>
    </row>
    <row r="191" spans="1:11" x14ac:dyDescent="0.4">
      <c r="A191" s="1">
        <v>13</v>
      </c>
      <c r="B191" s="1" t="s">
        <v>17</v>
      </c>
      <c r="C191" s="1"/>
      <c r="D191" s="1">
        <v>2</v>
      </c>
      <c r="E191" s="1">
        <v>1</v>
      </c>
      <c r="F191" s="1">
        <v>0</v>
      </c>
      <c r="G191" s="1">
        <v>0</v>
      </c>
      <c r="H191" s="1">
        <v>1</v>
      </c>
      <c r="I191" s="1">
        <v>3984</v>
      </c>
      <c r="J191" s="1">
        <v>4</v>
      </c>
      <c r="K191" s="1">
        <v>0</v>
      </c>
    </row>
    <row r="192" spans="1:11" x14ac:dyDescent="0.4">
      <c r="A192" s="1">
        <v>14</v>
      </c>
      <c r="B192" s="1" t="s">
        <v>18</v>
      </c>
      <c r="C192" s="1"/>
      <c r="D192" s="1">
        <v>2</v>
      </c>
      <c r="E192" s="1">
        <v>0</v>
      </c>
      <c r="F192" s="1">
        <v>0</v>
      </c>
      <c r="G192" s="1">
        <v>50</v>
      </c>
      <c r="H192" s="1">
        <v>-50</v>
      </c>
      <c r="I192" s="1">
        <v>7391</v>
      </c>
      <c r="J192" s="1">
        <v>5</v>
      </c>
      <c r="K192" s="1">
        <v>1</v>
      </c>
    </row>
    <row r="193" spans="1:11" x14ac:dyDescent="0.4">
      <c r="A193" s="1">
        <v>15</v>
      </c>
      <c r="B193" s="1" t="s">
        <v>19</v>
      </c>
      <c r="C193" s="1"/>
      <c r="D193" s="1">
        <v>4</v>
      </c>
      <c r="E193" s="1">
        <v>1</v>
      </c>
      <c r="F193" s="1">
        <v>1</v>
      </c>
      <c r="G193" s="1">
        <v>3</v>
      </c>
      <c r="H193" s="1">
        <v>-1</v>
      </c>
      <c r="I193" s="1">
        <v>18200</v>
      </c>
      <c r="J193" s="1">
        <v>53</v>
      </c>
      <c r="K193" s="1">
        <v>2</v>
      </c>
    </row>
    <row r="194" spans="1:11" x14ac:dyDescent="0.4">
      <c r="A194" s="1">
        <v>16</v>
      </c>
      <c r="B194" s="1" t="s">
        <v>20</v>
      </c>
      <c r="C194" s="1"/>
      <c r="D194" s="1">
        <v>2</v>
      </c>
      <c r="E194" s="1">
        <v>3</v>
      </c>
      <c r="F194" s="1">
        <v>0</v>
      </c>
      <c r="G194" s="1">
        <v>1</v>
      </c>
      <c r="H194" s="1">
        <v>3</v>
      </c>
      <c r="I194" s="1">
        <v>25893</v>
      </c>
      <c r="J194" s="1">
        <v>77</v>
      </c>
      <c r="K194" s="1">
        <v>5</v>
      </c>
    </row>
    <row r="195" spans="1:11" x14ac:dyDescent="0.4">
      <c r="A195" s="1">
        <v>17</v>
      </c>
      <c r="B195" s="1" t="s">
        <v>21</v>
      </c>
      <c r="C195" s="1"/>
      <c r="D195" s="1">
        <v>0</v>
      </c>
      <c r="E195" s="1">
        <v>0</v>
      </c>
      <c r="F195" s="1">
        <v>0</v>
      </c>
      <c r="G195" s="1">
        <v>1</v>
      </c>
      <c r="H195" s="1">
        <v>-1</v>
      </c>
      <c r="I195" s="1">
        <v>5390</v>
      </c>
      <c r="J195" s="1">
        <v>9</v>
      </c>
      <c r="K195" s="1">
        <v>0</v>
      </c>
    </row>
    <row r="196" spans="1:11" x14ac:dyDescent="0.4">
      <c r="A196" s="1">
        <v>18</v>
      </c>
      <c r="B196" s="1" t="s">
        <v>22</v>
      </c>
      <c r="C196" s="1"/>
      <c r="D196" s="1">
        <v>0</v>
      </c>
      <c r="E196" s="1">
        <v>0</v>
      </c>
      <c r="F196" s="1">
        <v>0</v>
      </c>
      <c r="G196" s="1">
        <v>3</v>
      </c>
      <c r="H196" s="1">
        <v>-3</v>
      </c>
      <c r="I196" s="1">
        <v>4083</v>
      </c>
      <c r="J196" s="1">
        <v>5</v>
      </c>
      <c r="K196" s="1">
        <v>0</v>
      </c>
    </row>
    <row r="197" spans="1:11" x14ac:dyDescent="0.4">
      <c r="A197" s="1"/>
      <c r="B197" s="1" t="s">
        <v>61</v>
      </c>
      <c r="C197" s="1" t="s">
        <v>60</v>
      </c>
      <c r="D197" s="1">
        <v>16</v>
      </c>
      <c r="E197" s="1">
        <v>19</v>
      </c>
      <c r="F197" s="1">
        <v>1</v>
      </c>
      <c r="G197" s="1">
        <v>68</v>
      </c>
      <c r="H197" s="1">
        <v>-47</v>
      </c>
      <c r="I197" s="1">
        <v>102396</v>
      </c>
      <c r="J197" s="1">
        <v>248</v>
      </c>
      <c r="K197" s="1">
        <v>26</v>
      </c>
    </row>
    <row r="198" spans="1:11" x14ac:dyDescent="0.4">
      <c r="A198" s="1"/>
      <c r="B198" s="1" t="s">
        <v>62</v>
      </c>
      <c r="C198" s="1" t="s">
        <v>60</v>
      </c>
      <c r="D198" s="1">
        <v>30</v>
      </c>
      <c r="E198" s="1">
        <v>44</v>
      </c>
      <c r="F198" s="1">
        <v>4</v>
      </c>
      <c r="G198" s="1">
        <v>92</v>
      </c>
      <c r="H198" s="1">
        <v>-41</v>
      </c>
      <c r="I198" s="1">
        <v>210485</v>
      </c>
      <c r="J198" s="1">
        <v>460</v>
      </c>
      <c r="K198" s="1">
        <v>63</v>
      </c>
    </row>
    <row r="201" spans="1:11" x14ac:dyDescent="0.4">
      <c r="A201" s="1" t="s">
        <v>78</v>
      </c>
      <c r="B201" s="1"/>
      <c r="C201" s="1"/>
      <c r="D201" s="1"/>
      <c r="E201" s="1"/>
      <c r="F201" s="1"/>
    </row>
    <row r="202" spans="1:11" x14ac:dyDescent="0.4">
      <c r="A202" s="1" t="s">
        <v>76</v>
      </c>
      <c r="B202" s="1"/>
      <c r="C202" s="1"/>
      <c r="D202" s="1"/>
      <c r="E202" s="1"/>
      <c r="F202" s="1"/>
    </row>
    <row r="203" spans="1:11" x14ac:dyDescent="0.4">
      <c r="A203" s="1" t="s">
        <v>43</v>
      </c>
      <c r="B203" s="1" t="s">
        <v>44</v>
      </c>
      <c r="C203" s="1" t="s">
        <v>63</v>
      </c>
      <c r="D203" s="1" t="s">
        <v>64</v>
      </c>
      <c r="E203" s="1" t="s">
        <v>65</v>
      </c>
      <c r="F203" s="1" t="s">
        <v>66</v>
      </c>
    </row>
    <row r="204" spans="1:11" x14ac:dyDescent="0.4">
      <c r="A204" s="1">
        <v>1</v>
      </c>
      <c r="B204" s="1" t="s">
        <v>54</v>
      </c>
      <c r="C204" s="1" t="s">
        <v>55</v>
      </c>
      <c r="D204" s="1">
        <v>819</v>
      </c>
      <c r="E204" s="1">
        <v>179</v>
      </c>
      <c r="F204" s="1">
        <v>95</v>
      </c>
    </row>
    <row r="205" spans="1:11" x14ac:dyDescent="0.4">
      <c r="A205" s="1">
        <v>1</v>
      </c>
      <c r="B205" s="1" t="s">
        <v>54</v>
      </c>
      <c r="C205" s="1" t="s">
        <v>56</v>
      </c>
      <c r="D205" s="1">
        <v>497</v>
      </c>
      <c r="E205" s="1">
        <v>129</v>
      </c>
      <c r="F205" s="1">
        <v>58</v>
      </c>
    </row>
    <row r="206" spans="1:11" x14ac:dyDescent="0.4">
      <c r="A206" s="1">
        <v>1</v>
      </c>
      <c r="B206" s="1" t="s">
        <v>54</v>
      </c>
      <c r="C206" s="1" t="s">
        <v>57</v>
      </c>
      <c r="D206" s="1">
        <v>495</v>
      </c>
      <c r="E206" s="1">
        <v>109</v>
      </c>
      <c r="F206" s="1">
        <v>43</v>
      </c>
    </row>
    <row r="207" spans="1:11" x14ac:dyDescent="0.4">
      <c r="A207" s="1">
        <v>1</v>
      </c>
      <c r="B207" s="1" t="s">
        <v>54</v>
      </c>
      <c r="C207" s="1" t="s">
        <v>58</v>
      </c>
      <c r="D207" s="1">
        <v>404</v>
      </c>
      <c r="E207" s="1">
        <v>75</v>
      </c>
      <c r="F207" s="1">
        <v>29</v>
      </c>
    </row>
    <row r="208" spans="1:11" x14ac:dyDescent="0.4">
      <c r="A208" s="1">
        <v>2</v>
      </c>
      <c r="B208" s="1" t="s">
        <v>59</v>
      </c>
      <c r="C208" s="1" t="s">
        <v>55</v>
      </c>
      <c r="D208" s="1">
        <v>828</v>
      </c>
      <c r="E208" s="1">
        <v>143</v>
      </c>
      <c r="F208" s="1">
        <v>58</v>
      </c>
    </row>
    <row r="209" spans="1:6" x14ac:dyDescent="0.4">
      <c r="A209" s="1">
        <v>2</v>
      </c>
      <c r="B209" s="1" t="s">
        <v>59</v>
      </c>
      <c r="C209" s="1" t="s">
        <v>56</v>
      </c>
      <c r="D209" s="1">
        <v>622</v>
      </c>
      <c r="E209" s="1">
        <v>131</v>
      </c>
      <c r="F209" s="1">
        <v>68</v>
      </c>
    </row>
    <row r="210" spans="1:6" x14ac:dyDescent="0.4">
      <c r="A210" s="1">
        <v>3</v>
      </c>
      <c r="B210" s="1" t="s">
        <v>7</v>
      </c>
      <c r="C210" s="1"/>
      <c r="D210" s="1">
        <v>430</v>
      </c>
      <c r="E210" s="1">
        <v>70</v>
      </c>
      <c r="F210" s="1">
        <v>20</v>
      </c>
    </row>
    <row r="211" spans="1:6" x14ac:dyDescent="0.4">
      <c r="A211" s="1">
        <v>4</v>
      </c>
      <c r="B211" s="1" t="s">
        <v>8</v>
      </c>
      <c r="C211" s="1"/>
      <c r="D211" s="1">
        <v>2359</v>
      </c>
      <c r="E211" s="1">
        <v>243</v>
      </c>
      <c r="F211" s="1">
        <v>105</v>
      </c>
    </row>
    <row r="212" spans="1:6" x14ac:dyDescent="0.4">
      <c r="A212" s="1">
        <v>5</v>
      </c>
      <c r="B212" s="1" t="s">
        <v>9</v>
      </c>
      <c r="C212" s="1"/>
      <c r="D212" s="1">
        <v>2932</v>
      </c>
      <c r="E212" s="1">
        <v>143</v>
      </c>
      <c r="F212" s="1">
        <v>71</v>
      </c>
    </row>
    <row r="213" spans="1:6" x14ac:dyDescent="0.4">
      <c r="A213" s="1">
        <v>6</v>
      </c>
      <c r="B213" s="1" t="s">
        <v>10</v>
      </c>
      <c r="C213" s="1"/>
      <c r="D213" s="1">
        <v>544</v>
      </c>
      <c r="E213" s="1">
        <v>89</v>
      </c>
      <c r="F213" s="1">
        <v>39</v>
      </c>
    </row>
    <row r="214" spans="1:6" x14ac:dyDescent="0.4">
      <c r="A214" s="1">
        <v>7</v>
      </c>
      <c r="B214" s="1" t="s">
        <v>11</v>
      </c>
      <c r="C214" s="1"/>
      <c r="D214" s="1">
        <v>858</v>
      </c>
      <c r="E214" s="1">
        <v>124</v>
      </c>
      <c r="F214" s="1">
        <v>66</v>
      </c>
    </row>
    <row r="215" spans="1:6" x14ac:dyDescent="0.4">
      <c r="A215" s="1">
        <v>8</v>
      </c>
      <c r="B215" s="1" t="s">
        <v>12</v>
      </c>
      <c r="C215" s="1"/>
      <c r="D215" s="1">
        <v>488</v>
      </c>
      <c r="E215" s="1">
        <v>96</v>
      </c>
      <c r="F215" s="1">
        <v>47</v>
      </c>
    </row>
    <row r="216" spans="1:6" x14ac:dyDescent="0.4">
      <c r="A216" s="1">
        <v>10</v>
      </c>
      <c r="B216" s="1" t="s">
        <v>14</v>
      </c>
      <c r="C216" s="1"/>
      <c r="D216" s="1">
        <v>3541</v>
      </c>
      <c r="E216" s="1">
        <v>498</v>
      </c>
      <c r="F216" s="1">
        <v>189</v>
      </c>
    </row>
    <row r="217" spans="1:6" x14ac:dyDescent="0.4">
      <c r="A217" s="1">
        <v>11</v>
      </c>
      <c r="B217" s="1" t="s">
        <v>15</v>
      </c>
      <c r="C217" s="1"/>
      <c r="D217" s="1">
        <v>754</v>
      </c>
      <c r="E217" s="1">
        <v>169</v>
      </c>
      <c r="F217" s="1">
        <v>73</v>
      </c>
    </row>
    <row r="218" spans="1:6" x14ac:dyDescent="0.4">
      <c r="A218" s="1">
        <v>12</v>
      </c>
      <c r="B218" s="1" t="s">
        <v>16</v>
      </c>
      <c r="C218" s="1"/>
      <c r="D218" s="1">
        <v>633</v>
      </c>
      <c r="E218" s="1">
        <v>47</v>
      </c>
      <c r="F218" s="1">
        <v>14</v>
      </c>
    </row>
    <row r="219" spans="1:6" x14ac:dyDescent="0.4">
      <c r="A219" s="1">
        <v>13</v>
      </c>
      <c r="B219" s="1" t="s">
        <v>17</v>
      </c>
      <c r="C219" s="1"/>
      <c r="D219" s="1">
        <v>348</v>
      </c>
      <c r="E219" s="1">
        <v>89</v>
      </c>
      <c r="F219" s="1">
        <v>35</v>
      </c>
    </row>
    <row r="220" spans="1:6" x14ac:dyDescent="0.4">
      <c r="A220" s="1">
        <v>14</v>
      </c>
      <c r="B220" s="1" t="s">
        <v>18</v>
      </c>
      <c r="C220" s="1"/>
      <c r="D220" s="1">
        <v>643</v>
      </c>
      <c r="E220" s="1">
        <v>117</v>
      </c>
      <c r="F220" s="1">
        <v>61</v>
      </c>
    </row>
    <row r="221" spans="1:6" x14ac:dyDescent="0.4">
      <c r="A221" s="1">
        <v>15</v>
      </c>
      <c r="B221" s="1" t="s">
        <v>19</v>
      </c>
      <c r="C221" s="1"/>
      <c r="D221" s="1">
        <v>4052</v>
      </c>
      <c r="E221" s="1">
        <v>317</v>
      </c>
      <c r="F221" s="1">
        <v>169</v>
      </c>
    </row>
    <row r="222" spans="1:6" x14ac:dyDescent="0.4">
      <c r="A222" s="1">
        <v>16</v>
      </c>
      <c r="B222" s="1" t="s">
        <v>20</v>
      </c>
      <c r="C222" s="1"/>
      <c r="D222" s="1">
        <v>2856</v>
      </c>
      <c r="E222" s="1">
        <v>403</v>
      </c>
      <c r="F222" s="1">
        <v>224</v>
      </c>
    </row>
    <row r="223" spans="1:6" x14ac:dyDescent="0.4">
      <c r="A223" s="1">
        <v>17</v>
      </c>
      <c r="B223" s="1" t="s">
        <v>21</v>
      </c>
      <c r="C223" s="1"/>
      <c r="D223" s="1">
        <v>712</v>
      </c>
      <c r="E223" s="1">
        <v>65</v>
      </c>
      <c r="F223" s="1">
        <v>26</v>
      </c>
    </row>
    <row r="224" spans="1:6" x14ac:dyDescent="0.4">
      <c r="A224" s="1">
        <v>18</v>
      </c>
      <c r="B224" s="1" t="s">
        <v>22</v>
      </c>
      <c r="C224" s="1"/>
      <c r="D224" s="1">
        <v>335</v>
      </c>
      <c r="E224" s="1">
        <v>76</v>
      </c>
      <c r="F224" s="1">
        <v>48</v>
      </c>
    </row>
    <row r="225" spans="1:9" x14ac:dyDescent="0.4">
      <c r="A225" s="1"/>
      <c r="B225" s="1"/>
      <c r="C225" s="1"/>
      <c r="D225" s="1">
        <v>25150</v>
      </c>
      <c r="E225" s="1">
        <v>3312</v>
      </c>
      <c r="F225" s="1">
        <v>1538</v>
      </c>
    </row>
    <row r="228" spans="1:9" x14ac:dyDescent="0.4">
      <c r="A228" s="1" t="s">
        <v>78</v>
      </c>
      <c r="B228" s="1"/>
      <c r="C228" s="1"/>
      <c r="D228" s="1"/>
      <c r="E228" s="1"/>
      <c r="F228" s="1"/>
      <c r="G228" s="1"/>
      <c r="H228" s="1"/>
      <c r="I228" s="1"/>
    </row>
    <row r="229" spans="1:9" x14ac:dyDescent="0.4">
      <c r="A229" s="1" t="s">
        <v>76</v>
      </c>
      <c r="B229" s="1"/>
      <c r="C229" s="1"/>
      <c r="D229" s="1"/>
      <c r="E229" s="1"/>
      <c r="F229" s="1"/>
      <c r="G229" s="1"/>
      <c r="H229" s="1"/>
      <c r="I229" s="1"/>
    </row>
    <row r="230" spans="1:9" x14ac:dyDescent="0.4">
      <c r="A230" s="1" t="s">
        <v>67</v>
      </c>
      <c r="B230" s="1"/>
      <c r="C230" s="1"/>
      <c r="D230" s="1"/>
      <c r="E230" s="1"/>
      <c r="F230" s="1"/>
      <c r="G230" s="1"/>
      <c r="H230" s="1"/>
      <c r="I230" s="1"/>
    </row>
    <row r="231" spans="1:9" x14ac:dyDescent="0.4">
      <c r="A231" s="1" t="s">
        <v>68</v>
      </c>
      <c r="B231" s="1" t="s">
        <v>69</v>
      </c>
      <c r="C231" s="1" t="s">
        <v>70</v>
      </c>
      <c r="D231" s="1" t="s">
        <v>71</v>
      </c>
      <c r="E231" s="1" t="s">
        <v>72</v>
      </c>
      <c r="F231" s="1" t="s">
        <v>73</v>
      </c>
      <c r="G231" s="1" t="s">
        <v>74</v>
      </c>
      <c r="H231" s="1" t="s">
        <v>50</v>
      </c>
      <c r="I231" s="1" t="s">
        <v>53</v>
      </c>
    </row>
    <row r="232" spans="1:9" x14ac:dyDescent="0.4">
      <c r="A232" s="1">
        <v>1</v>
      </c>
      <c r="B232" s="1" t="s">
        <v>54</v>
      </c>
      <c r="C232" s="1" t="s">
        <v>55</v>
      </c>
      <c r="D232" s="1">
        <v>0</v>
      </c>
      <c r="E232" s="1">
        <v>0</v>
      </c>
      <c r="F232" s="1">
        <v>0</v>
      </c>
      <c r="G232" s="1">
        <v>0</v>
      </c>
      <c r="H232" s="1">
        <v>2444</v>
      </c>
      <c r="I232" s="1">
        <v>0</v>
      </c>
    </row>
    <row r="233" spans="1:9" x14ac:dyDescent="0.4">
      <c r="A233" s="1">
        <v>1</v>
      </c>
      <c r="B233" s="1" t="s">
        <v>54</v>
      </c>
      <c r="C233" s="1" t="s">
        <v>56</v>
      </c>
      <c r="D233" s="1">
        <v>0</v>
      </c>
      <c r="E233" s="1">
        <v>0</v>
      </c>
      <c r="F233" s="1">
        <v>0</v>
      </c>
      <c r="G233" s="1">
        <v>0</v>
      </c>
      <c r="H233" s="1">
        <v>828</v>
      </c>
      <c r="I233" s="1">
        <v>0</v>
      </c>
    </row>
    <row r="234" spans="1:9" x14ac:dyDescent="0.4">
      <c r="A234" s="1">
        <v>1</v>
      </c>
      <c r="B234" s="1" t="s">
        <v>54</v>
      </c>
      <c r="C234" s="1" t="s">
        <v>57</v>
      </c>
      <c r="D234" s="1">
        <v>0</v>
      </c>
      <c r="E234" s="1">
        <v>0</v>
      </c>
      <c r="F234" s="1">
        <v>0</v>
      </c>
      <c r="G234" s="1">
        <v>1</v>
      </c>
      <c r="H234" s="1">
        <v>2011</v>
      </c>
      <c r="I234" s="1">
        <v>0</v>
      </c>
    </row>
    <row r="235" spans="1:9" x14ac:dyDescent="0.4">
      <c r="A235" s="1">
        <v>1</v>
      </c>
      <c r="B235" s="1" t="s">
        <v>54</v>
      </c>
      <c r="C235" s="1" t="s">
        <v>58</v>
      </c>
      <c r="D235" s="1">
        <v>0</v>
      </c>
      <c r="E235" s="1">
        <v>0</v>
      </c>
      <c r="F235" s="1">
        <v>0</v>
      </c>
      <c r="G235" s="1">
        <v>0</v>
      </c>
      <c r="H235" s="1">
        <v>883</v>
      </c>
      <c r="I235" s="1">
        <v>0</v>
      </c>
    </row>
    <row r="236" spans="1:9" x14ac:dyDescent="0.4">
      <c r="A236" s="1">
        <v>2</v>
      </c>
      <c r="B236" s="1" t="s">
        <v>59</v>
      </c>
      <c r="C236" s="1" t="s">
        <v>55</v>
      </c>
      <c r="D236" s="1">
        <v>0</v>
      </c>
      <c r="E236" s="1">
        <v>0</v>
      </c>
      <c r="F236" s="1">
        <v>0</v>
      </c>
      <c r="G236" s="1">
        <v>0</v>
      </c>
      <c r="H236" s="1">
        <v>2127</v>
      </c>
      <c r="I236" s="1">
        <v>0</v>
      </c>
    </row>
    <row r="237" spans="1:9" x14ac:dyDescent="0.4">
      <c r="A237" s="1">
        <v>2</v>
      </c>
      <c r="B237" s="1" t="s">
        <v>59</v>
      </c>
      <c r="C237" s="1" t="s">
        <v>56</v>
      </c>
      <c r="D237" s="1">
        <v>0</v>
      </c>
      <c r="E237" s="1">
        <v>0</v>
      </c>
      <c r="F237" s="1">
        <v>0</v>
      </c>
      <c r="G237" s="1">
        <v>0</v>
      </c>
      <c r="H237" s="1">
        <v>1641</v>
      </c>
      <c r="I237" s="1">
        <v>0</v>
      </c>
    </row>
    <row r="238" spans="1:9" x14ac:dyDescent="0.4">
      <c r="A238" s="1">
        <v>3</v>
      </c>
      <c r="B238" s="1" t="s">
        <v>7</v>
      </c>
      <c r="C238" s="1"/>
      <c r="D238" s="1">
        <v>0</v>
      </c>
      <c r="E238" s="1">
        <v>0</v>
      </c>
      <c r="F238" s="1">
        <v>0</v>
      </c>
      <c r="G238" s="1">
        <v>0</v>
      </c>
      <c r="H238" s="1">
        <v>952</v>
      </c>
      <c r="I238" s="1">
        <v>0</v>
      </c>
    </row>
    <row r="239" spans="1:9" x14ac:dyDescent="0.4">
      <c r="A239" s="1">
        <v>4</v>
      </c>
      <c r="B239" s="1" t="s">
        <v>8</v>
      </c>
      <c r="C239" s="1"/>
      <c r="D239" s="1">
        <v>0</v>
      </c>
      <c r="E239" s="1">
        <v>2</v>
      </c>
      <c r="F239" s="1">
        <v>0</v>
      </c>
      <c r="G239" s="1">
        <v>0</v>
      </c>
      <c r="H239" s="1">
        <v>6881</v>
      </c>
      <c r="I239" s="1">
        <v>1</v>
      </c>
    </row>
    <row r="240" spans="1:9" x14ac:dyDescent="0.4">
      <c r="A240" s="1">
        <v>5</v>
      </c>
      <c r="B240" s="1" t="s">
        <v>9</v>
      </c>
      <c r="C240" s="1"/>
      <c r="D240" s="1">
        <v>0</v>
      </c>
      <c r="E240" s="1">
        <v>0</v>
      </c>
      <c r="F240" s="1">
        <v>0</v>
      </c>
      <c r="G240" s="1">
        <v>0</v>
      </c>
      <c r="H240" s="1">
        <v>5745</v>
      </c>
      <c r="I240" s="1">
        <v>0</v>
      </c>
    </row>
    <row r="241" spans="1:9" x14ac:dyDescent="0.4">
      <c r="A241" s="1">
        <v>6</v>
      </c>
      <c r="B241" s="1" t="s">
        <v>10</v>
      </c>
      <c r="C241" s="1"/>
      <c r="D241" s="1">
        <v>0</v>
      </c>
      <c r="E241" s="1">
        <v>0</v>
      </c>
      <c r="F241" s="1">
        <v>0</v>
      </c>
      <c r="G241" s="1">
        <v>0</v>
      </c>
      <c r="H241" s="1">
        <v>1995</v>
      </c>
      <c r="I241" s="1">
        <v>0</v>
      </c>
    </row>
    <row r="242" spans="1:9" x14ac:dyDescent="0.4">
      <c r="A242" s="1">
        <v>7</v>
      </c>
      <c r="B242" s="1" t="s">
        <v>11</v>
      </c>
      <c r="C242" s="1"/>
      <c r="D242" s="1">
        <v>0</v>
      </c>
      <c r="E242" s="1">
        <v>0</v>
      </c>
      <c r="F242" s="1">
        <v>0</v>
      </c>
      <c r="G242" s="1">
        <v>0</v>
      </c>
      <c r="H242" s="1">
        <v>3707</v>
      </c>
      <c r="I242" s="1">
        <v>1</v>
      </c>
    </row>
    <row r="243" spans="1:9" x14ac:dyDescent="0.4">
      <c r="A243" s="1">
        <v>8</v>
      </c>
      <c r="B243" s="1" t="s">
        <v>12</v>
      </c>
      <c r="C243" s="1"/>
      <c r="D243" s="1">
        <v>0</v>
      </c>
      <c r="E243" s="1">
        <v>0</v>
      </c>
      <c r="F243" s="1">
        <v>0</v>
      </c>
      <c r="G243" s="1">
        <v>0</v>
      </c>
      <c r="H243" s="1">
        <v>3145</v>
      </c>
      <c r="I243" s="1">
        <v>0</v>
      </c>
    </row>
    <row r="244" spans="1:9" x14ac:dyDescent="0.4">
      <c r="A244" s="1">
        <v>10</v>
      </c>
      <c r="B244" s="1" t="s">
        <v>14</v>
      </c>
      <c r="C244" s="1"/>
      <c r="D244" s="1">
        <v>0</v>
      </c>
      <c r="E244" s="1">
        <v>9</v>
      </c>
      <c r="F244" s="1">
        <v>0</v>
      </c>
      <c r="G244" s="1">
        <v>1</v>
      </c>
      <c r="H244" s="1">
        <v>7663</v>
      </c>
      <c r="I244" s="1">
        <v>6</v>
      </c>
    </row>
    <row r="245" spans="1:9" x14ac:dyDescent="0.4">
      <c r="A245" s="1">
        <v>11</v>
      </c>
      <c r="B245" s="1" t="s">
        <v>15</v>
      </c>
      <c r="C245" s="1"/>
      <c r="D245" s="1">
        <v>0</v>
      </c>
      <c r="E245" s="1">
        <v>0</v>
      </c>
      <c r="F245" s="1">
        <v>0</v>
      </c>
      <c r="G245" s="1">
        <v>0</v>
      </c>
      <c r="H245" s="1">
        <v>1533</v>
      </c>
      <c r="I245" s="1">
        <v>0</v>
      </c>
    </row>
    <row r="246" spans="1:9" x14ac:dyDescent="0.4">
      <c r="A246" s="1">
        <v>12</v>
      </c>
      <c r="B246" s="1" t="s">
        <v>16</v>
      </c>
      <c r="C246" s="1"/>
      <c r="D246" s="1">
        <v>0</v>
      </c>
      <c r="E246" s="1">
        <v>0</v>
      </c>
      <c r="F246" s="1">
        <v>0</v>
      </c>
      <c r="G246" s="1">
        <v>2</v>
      </c>
      <c r="H246" s="1">
        <v>3551</v>
      </c>
      <c r="I246" s="1">
        <v>0</v>
      </c>
    </row>
    <row r="247" spans="1:9" x14ac:dyDescent="0.4">
      <c r="A247" s="1">
        <v>13</v>
      </c>
      <c r="B247" s="1" t="s">
        <v>17</v>
      </c>
      <c r="C247" s="1"/>
      <c r="D247" s="1">
        <v>0</v>
      </c>
      <c r="E247" s="1">
        <v>0</v>
      </c>
      <c r="F247" s="1">
        <v>0</v>
      </c>
      <c r="G247" s="1">
        <v>0</v>
      </c>
      <c r="H247" s="1">
        <v>1666</v>
      </c>
      <c r="I247" s="1">
        <v>0</v>
      </c>
    </row>
    <row r="248" spans="1:9" x14ac:dyDescent="0.4">
      <c r="A248" s="1">
        <v>14</v>
      </c>
      <c r="B248" s="1" t="s">
        <v>18</v>
      </c>
      <c r="C248" s="1"/>
      <c r="D248" s="1">
        <v>0</v>
      </c>
      <c r="E248" s="1">
        <v>0</v>
      </c>
      <c r="F248" s="1">
        <v>0</v>
      </c>
      <c r="G248" s="1">
        <v>50</v>
      </c>
      <c r="H248" s="1">
        <v>4707</v>
      </c>
      <c r="I248" s="1">
        <v>0</v>
      </c>
    </row>
    <row r="249" spans="1:9" x14ac:dyDescent="0.4">
      <c r="A249" s="1">
        <v>15</v>
      </c>
      <c r="B249" s="1" t="s">
        <v>19</v>
      </c>
      <c r="C249" s="1"/>
      <c r="D249" s="1">
        <v>0</v>
      </c>
      <c r="E249" s="1">
        <v>0</v>
      </c>
      <c r="F249" s="1">
        <v>0</v>
      </c>
      <c r="G249" s="1">
        <v>0</v>
      </c>
      <c r="H249" s="1">
        <v>10270</v>
      </c>
      <c r="I249" s="1">
        <v>1</v>
      </c>
    </row>
    <row r="250" spans="1:9" x14ac:dyDescent="0.4">
      <c r="A250" s="1">
        <v>16</v>
      </c>
      <c r="B250" s="1" t="s">
        <v>20</v>
      </c>
      <c r="C250" s="1"/>
      <c r="D250" s="1">
        <v>0</v>
      </c>
      <c r="E250" s="1">
        <v>0</v>
      </c>
      <c r="F250" s="1">
        <v>0</v>
      </c>
      <c r="G250" s="1">
        <v>0</v>
      </c>
      <c r="H250" s="1">
        <v>13178</v>
      </c>
      <c r="I250" s="1">
        <v>3</v>
      </c>
    </row>
    <row r="251" spans="1:9" x14ac:dyDescent="0.4">
      <c r="A251" s="1">
        <v>17</v>
      </c>
      <c r="B251" s="1" t="s">
        <v>21</v>
      </c>
      <c r="C251" s="1"/>
      <c r="D251" s="1">
        <v>0</v>
      </c>
      <c r="E251" s="1">
        <v>0</v>
      </c>
      <c r="F251" s="1">
        <v>0</v>
      </c>
      <c r="G251" s="1">
        <v>0</v>
      </c>
      <c r="H251" s="1">
        <v>3341</v>
      </c>
      <c r="I251" s="1">
        <v>0</v>
      </c>
    </row>
    <row r="252" spans="1:9" x14ac:dyDescent="0.4">
      <c r="A252" s="1">
        <v>18</v>
      </c>
      <c r="B252" s="1" t="s">
        <v>22</v>
      </c>
      <c r="C252" s="1"/>
      <c r="D252" s="1">
        <v>0</v>
      </c>
      <c r="E252" s="1">
        <v>0</v>
      </c>
      <c r="F252" s="1">
        <v>0</v>
      </c>
      <c r="G252" s="1">
        <v>3</v>
      </c>
      <c r="H252" s="1">
        <v>3256</v>
      </c>
      <c r="I252" s="1">
        <v>0</v>
      </c>
    </row>
    <row r="256" spans="1:9" x14ac:dyDescent="0.4">
      <c r="A256" t="s">
        <v>78</v>
      </c>
    </row>
    <row r="257" spans="1:11" x14ac:dyDescent="0.4">
      <c r="A257" t="s">
        <v>77</v>
      </c>
    </row>
    <row r="258" spans="1:11" x14ac:dyDescent="0.4">
      <c r="A258" t="s">
        <v>43</v>
      </c>
      <c r="B258" t="s">
        <v>44</v>
      </c>
      <c r="C258" t="s">
        <v>45</v>
      </c>
      <c r="D258" t="s">
        <v>46</v>
      </c>
      <c r="E258" t="s">
        <v>47</v>
      </c>
      <c r="F258" t="s">
        <v>48</v>
      </c>
      <c r="G258" t="s">
        <v>49</v>
      </c>
      <c r="H258" t="s">
        <v>50</v>
      </c>
      <c r="I258" t="s">
        <v>51</v>
      </c>
      <c r="J258" t="s">
        <v>52</v>
      </c>
      <c r="K258" t="s">
        <v>53</v>
      </c>
    </row>
    <row r="259" spans="1:11" x14ac:dyDescent="0.4">
      <c r="A259">
        <v>1</v>
      </c>
      <c r="B259" t="s">
        <v>54</v>
      </c>
      <c r="C259" t="s">
        <v>56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</row>
    <row r="260" spans="1:11" x14ac:dyDescent="0.4">
      <c r="A260">
        <v>5</v>
      </c>
      <c r="B260" t="s">
        <v>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</row>
    <row r="261" spans="1:11" x14ac:dyDescent="0.4">
      <c r="B261" t="s">
        <v>25</v>
      </c>
      <c r="C261" t="s">
        <v>60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2</v>
      </c>
      <c r="J261">
        <v>0</v>
      </c>
      <c r="K261">
        <v>0</v>
      </c>
    </row>
    <row r="262" spans="1:11" x14ac:dyDescent="0.4">
      <c r="A262">
        <v>10</v>
      </c>
      <c r="B262" t="s">
        <v>14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0</v>
      </c>
    </row>
    <row r="263" spans="1:11" x14ac:dyDescent="0.4">
      <c r="A263">
        <v>14</v>
      </c>
      <c r="B263" t="s">
        <v>18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</row>
    <row r="264" spans="1:11" x14ac:dyDescent="0.4">
      <c r="A264">
        <v>15</v>
      </c>
      <c r="B264" t="s">
        <v>19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0</v>
      </c>
      <c r="K264">
        <v>0</v>
      </c>
    </row>
    <row r="265" spans="1:11" x14ac:dyDescent="0.4">
      <c r="B265" t="s">
        <v>61</v>
      </c>
      <c r="C265" t="s">
        <v>60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3</v>
      </c>
      <c r="J265">
        <v>0</v>
      </c>
      <c r="K265">
        <v>0</v>
      </c>
    </row>
    <row r="266" spans="1:11" x14ac:dyDescent="0.4">
      <c r="B266" t="s">
        <v>62</v>
      </c>
      <c r="C266" t="s">
        <v>60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5</v>
      </c>
      <c r="J266">
        <v>0</v>
      </c>
      <c r="K266">
        <v>0</v>
      </c>
    </row>
    <row r="269" spans="1:11" x14ac:dyDescent="0.4">
      <c r="A269" t="s">
        <v>78</v>
      </c>
    </row>
    <row r="270" spans="1:11" x14ac:dyDescent="0.4">
      <c r="A270" t="s">
        <v>77</v>
      </c>
    </row>
    <row r="271" spans="1:11" x14ac:dyDescent="0.4">
      <c r="A271" t="s">
        <v>43</v>
      </c>
      <c r="B271" t="s">
        <v>44</v>
      </c>
      <c r="C271" t="s">
        <v>63</v>
      </c>
      <c r="D271" t="s">
        <v>64</v>
      </c>
      <c r="E271" t="s">
        <v>65</v>
      </c>
      <c r="F271" t="s">
        <v>66</v>
      </c>
    </row>
    <row r="272" spans="1:11" x14ac:dyDescent="0.4">
      <c r="A272">
        <v>5</v>
      </c>
      <c r="B272" t="s">
        <v>9</v>
      </c>
      <c r="D272">
        <v>1</v>
      </c>
      <c r="E272">
        <v>1</v>
      </c>
      <c r="F272">
        <v>1</v>
      </c>
    </row>
    <row r="273" spans="1:9" x14ac:dyDescent="0.4">
      <c r="A273">
        <v>14</v>
      </c>
      <c r="B273" t="s">
        <v>18</v>
      </c>
      <c r="D273">
        <v>1</v>
      </c>
      <c r="E273">
        <v>1</v>
      </c>
      <c r="F273">
        <v>1</v>
      </c>
    </row>
    <row r="274" spans="1:9" x14ac:dyDescent="0.4">
      <c r="D274">
        <v>2</v>
      </c>
      <c r="E274">
        <v>2</v>
      </c>
      <c r="F274">
        <v>2</v>
      </c>
    </row>
    <row r="277" spans="1:9" x14ac:dyDescent="0.4">
      <c r="A277" t="s">
        <v>78</v>
      </c>
    </row>
    <row r="278" spans="1:9" x14ac:dyDescent="0.4">
      <c r="A278" t="s">
        <v>77</v>
      </c>
    </row>
    <row r="279" spans="1:9" x14ac:dyDescent="0.4">
      <c r="A279" t="s">
        <v>67</v>
      </c>
    </row>
    <row r="280" spans="1:9" x14ac:dyDescent="0.4">
      <c r="A280" t="s">
        <v>68</v>
      </c>
      <c r="B280" t="s">
        <v>69</v>
      </c>
      <c r="C280" t="s">
        <v>70</v>
      </c>
      <c r="D280" t="s">
        <v>71</v>
      </c>
      <c r="E280" t="s">
        <v>72</v>
      </c>
      <c r="F280" t="s">
        <v>73</v>
      </c>
      <c r="G280" t="s">
        <v>74</v>
      </c>
      <c r="H280" t="s">
        <v>50</v>
      </c>
      <c r="I280" t="s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日統計模板</vt:lpstr>
      <vt:lpstr>無上網日統計模板</vt:lpstr>
      <vt:lpstr>DAY1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許寀彤</dc:creator>
  <cp:lastModifiedBy>董建霖</cp:lastModifiedBy>
  <cp:lastPrinted>2024-01-02T00:14:14Z</cp:lastPrinted>
  <dcterms:created xsi:type="dcterms:W3CDTF">2023-11-06T09:30:11Z</dcterms:created>
  <dcterms:modified xsi:type="dcterms:W3CDTF">2025-11-26T00:25:20Z</dcterms:modified>
</cp:coreProperties>
</file>